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song\Work\_eBike\ebike_sw_48v_270w_ref\eBike-demo-fw\PMSM_FOC\Configuration\"/>
    </mc:Choice>
  </mc:AlternateContent>
  <xr:revisionPtr revIDLastSave="0" documentId="13_ncr:1_{C5F69EDD-D3EC-4EBA-9304-10B1CE5A0E9F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User Input Param Range_Scaling" sheetId="1" r:id="rId1"/>
    <sheet name="pmsm_foc_config.h" sheetId="4" r:id="rId2"/>
    <sheet name="pmsm_foc_const.h" sheetId="5" r:id="rId3"/>
    <sheet name="mcuhw_param" sheetId="7" r:id="rId4"/>
    <sheet name="6EDL7141_CONFIG_MACRO" sheetId="9" r:id="rId5"/>
  </sheets>
  <definedNames>
    <definedName name="ADC_TRIGGER_DELAY">pmsm_foc_config.h!$C$86</definedName>
    <definedName name="BEMF_R1">'User Input Param Range_Scaling'!#REF!</definedName>
    <definedName name="BEMF_R2">'User Input Param Range_Scaling'!#REF!</definedName>
    <definedName name="BEMF_RATIO">'User Input Param Range_Scaling'!#REF!</definedName>
    <definedName name="BEMF2_DELTA_THETA_RAW">'User Input Param Range_Scaling'!#REF!</definedName>
    <definedName name="BOOTSTRAP_BRAKE_TIME">'User Input Param Range_Scaling'!$P$50</definedName>
    <definedName name="BOOTSTRAP_PRECHARGE_TIME_MS">'User Input Param Range_Scaling'!$D$51</definedName>
    <definedName name="BOTH_OFF">pmsm_foc_const.h!$C$2</definedName>
    <definedName name="BOTH_ON">pmsm_foc_const.h!$C$5</definedName>
    <definedName name="BRAKE_MIN_SPEED">'User Input Param Range_Scaling'!$P$47</definedName>
    <definedName name="BSC007N04N04LS6_1X">pmsm_foc_const.h!$C$109</definedName>
    <definedName name="BSC007N04N04LS6_2X">pmsm_foc_const.h!$C$107</definedName>
    <definedName name="BSC030N08NS5_2X">pmsm_foc_const.h!$C$108</definedName>
    <definedName name="BY_POT_ONLY">pmsm_foc_const.h!$C$72</definedName>
    <definedName name="CCU8_DEADTIME_FALL">'User Input Param Range_Scaling'!$P$204</definedName>
    <definedName name="CCU8_DEADTIME_RISE">'User Input Param Range_Scaling'!$P$203</definedName>
    <definedName name="CCU8_MODULE_NUM">mcuhw_param!$C$26</definedName>
    <definedName name="CCU8_PERIOD_REG">'User Input Param Range_Scaling'!$P$205</definedName>
    <definedName name="CCU8_SLICE_ADC_TR">mcuhw_param!$C$38</definedName>
    <definedName name="CCU8_SLICE_PHASE_U_NUM">mcuhw_param!$C$29</definedName>
    <definedName name="CCU8_SLICE_PHASE_V_NUM">mcuhw_param!$C$32</definedName>
    <definedName name="CCU8_SLICE_PHASE_W_NUM">mcuhw_param!$C$35</definedName>
    <definedName name="COASTING_PRECHARGE_TIME">'User Input Param Range_Scaling'!$P$51</definedName>
    <definedName name="COASTING_PRECHARGE_TIME_MS">'User Input Param Range_Scaling'!$D$51</definedName>
    <definedName name="CONVERT_SPEED_TO_RPM">'User Input Param Range_Scaling'!$P$28</definedName>
    <definedName name="CORDIC_CIRCULAR_MPS_BY_K_SCALED">pmsm_foc_const.h!$C$93</definedName>
    <definedName name="CORDIC_CIRCULAR_ROTATION_MODE">pmsm_foc_const.h!$C$91</definedName>
    <definedName name="CORDIC_CIRCULAR_VECTORING_MODE">pmsm_foc_const.h!$C$90</definedName>
    <definedName name="CORDIC_HYPERBOLIC_MPS_BY_K_SCALED">pmsm_foc_const.h!$C$94</definedName>
    <definedName name="CORDIC_HYPERBOLIC_VECTORING_MODE">pmsm_foc_const.h!$C$92</definedName>
    <definedName name="CORDIC_MPS_BY_K_SCALE">pmsm_foc_const.h!$C$95</definedName>
    <definedName name="CSOPAMP_SETTLING_TIME">'User Input Param Range_Scaling'!$P$213</definedName>
    <definedName name="CSOPAMP_SETTLING_TIME_US">'User Input Param Range_Scaling'!$D$213</definedName>
    <definedName name="DC_LINK_CURRENT_SENSE">pmsm_foc_const.h!$C$68</definedName>
    <definedName name="DC_LINK_DIVIDER_RATIO">'User Input Param Range_Scaling'!$D$218</definedName>
    <definedName name="DC_LINK_R1">'User Input Param Range_Scaling'!$D$216</definedName>
    <definedName name="DC_LINK_R2">'User Input Param Range_Scaling'!$D$217</definedName>
    <definedName name="DEAD_TIME_COMPENSATION_RATIO">'User Input Param Range_Scaling'!$D$206</definedName>
    <definedName name="DEAD_TIME_STALL_FLAG_COMPENSATION">'User Input Param Range_Scaling'!$D$205</definedName>
    <definedName name="DIRECTION_DEC">pmsm_foc_const.h!$C$100</definedName>
    <definedName name="DIRECTION_INC">pmsm_foc_const.h!$C$99</definedName>
    <definedName name="DISABLED">pmsm_foc_const.h!$C$59</definedName>
    <definedName name="DRIVER_SHUTDOWN_DELAY_COUNT">'User Input Param Range_Scaling'!$P$247</definedName>
    <definedName name="DT_COMPENSATION_V_INT">'User Input Param Range_Scaling'!$P$206</definedName>
    <definedName name="E_BIKE_GEAR_RATIO">'User Input Param Range_Scaling'!$D$265</definedName>
    <definedName name="E_BIKE_IQ_RAMP_DOWN_STEP">'User Input Param Range_Scaling'!$P$269</definedName>
    <definedName name="E_BIKE_IQ_RAMP_DOWN_STEP_A_SEC">'User Input Param Range_Scaling'!$D$271</definedName>
    <definedName name="E_BIKE_POWER_BASE">'User Input Param Range_Scaling'!$P$275</definedName>
    <definedName name="E_Bike_power_max">'User Input Param Range_Scaling'!$D$275</definedName>
    <definedName name="E_BIKE_POWER_RAW">'User Input Param Range_Scaling'!$R$275</definedName>
    <definedName name="E_BIKE_POWER_RAW_SCALE_UP">'User Input Param Range_Scaling'!$P$276</definedName>
    <definedName name="E_BIKE_RAMP_DOWN_STEP_A">'User Input Param Range_Scaling'!$D$269</definedName>
    <definedName name="E_BIKE_RAMP_STEP_TIME_FCL_COUNT">'User Input Param Range_Scaling'!$D$270</definedName>
    <definedName name="E_BIKE_REF">'User Input Param Range_Scaling'!$D$250</definedName>
    <definedName name="E_BIKE_SCALE_OF_MAX_TORQUE_IQ">'User Input Param Range_Scaling'!$P$275</definedName>
    <definedName name="E_BIKE_SPEED_LIMIT_KM_H">'User Input Param Range_Scaling'!$D$264</definedName>
    <definedName name="E_BIKE_SPEED_LIMIT_RAD_S">'User Input Param Range_Scaling'!$P$264</definedName>
    <definedName name="E_BIKE_SPEED_LIMIT_RPM">'User Input Param Range_Scaling'!$P$262</definedName>
    <definedName name="E_BIKE_WHEEL_RADIUS">'User Input Param Range_Scaling'!$D$266</definedName>
    <definedName name="E_ECO_GAIN_CONST">'User Input Param Range_Scaling'!$D$256</definedName>
    <definedName name="E_ECO_SCALE_OF_T">'User Input Param Range_Scaling'!$P$253</definedName>
    <definedName name="E_ECO_T_RAW">'User Input Param Range_Scaling'!$R$253</definedName>
    <definedName name="E_ECO_T_RAW_2">'User Input Param Range_Scaling'!$R$254</definedName>
    <definedName name="E_ECO_T_SCALEDUP">'User Input Param Range_Scaling'!$P$254</definedName>
    <definedName name="E_INPUT_T_MAX">'User Input Param Range_Scaling'!$D$259</definedName>
    <definedName name="E_INPUT_V_MAX">'User Input Param Range_Scaling'!$D$260</definedName>
    <definedName name="E_K_CONST">'User Input Param Range_Scaling'!$D$261</definedName>
    <definedName name="E_KI">'User Input Param Range_Scaling'!$D$259</definedName>
    <definedName name="E_NORMAL_GAIN_CONST">'User Input Param Range_Scaling'!$D$257</definedName>
    <definedName name="E_NORMAL_SCALE_OF_T">'User Input Param Range_Scaling'!$P$255</definedName>
    <definedName name="E_NORMAL_T_RAW">'User Input Param Range_Scaling'!$R$255</definedName>
    <definedName name="E_NORMAL_T_RAW_2">'User Input Param Range_Scaling'!$R$256</definedName>
    <definedName name="E_NORMAL_T_SCALEDUP">'User Input Param Range_Scaling'!$P$256</definedName>
    <definedName name="E_POT_R1">'User Input Param Range_Scaling'!$D$253</definedName>
    <definedName name="E_POT_R2">'User Input Param Range_Scaling'!$D$254</definedName>
    <definedName name="E_SPORT_GAIN_CONST">'User Input Param Range_Scaling'!$D$258</definedName>
    <definedName name="E_SPORT_SCALE_OF_T">'User Input Param Range_Scaling'!$P$257</definedName>
    <definedName name="E_SPORT_T_RAW">'User Input Param Range_Scaling'!$R$257</definedName>
    <definedName name="E_SPORT_T_RAW_2">'User Input Param Range_Scaling'!$R$258</definedName>
    <definedName name="E_SPORT_T_SCALEDUP">'User Input Param Range_Scaling'!$P$258</definedName>
    <definedName name="E_TORQUE_CONST">'User Input Param Range_Scaling'!$D$255</definedName>
    <definedName name="ECO_GAIN_CONST">'User Input Param Range_Scaling'!$D$256</definedName>
    <definedName name="ELECTRICAL_SPEED_HIGH_LIMIT_TS">'User Input Param Range_Scaling'!$P$210</definedName>
    <definedName name="ELECTRICAL_SPEED_LOW_LIMIT_TS">'User Input Param Range_Scaling'!$P$209</definedName>
    <definedName name="ENABLED">pmsm_foc_const.h!$C$58</definedName>
    <definedName name="FF_PLL_BEMF_2_DELTA_THETA">'User Input Param Range_Scaling'!#REF!</definedName>
    <definedName name="FF_PLL_SCALE_BEMF_2_DELTA_THETA">'User Input Param Range_Scaling'!#REF!</definedName>
    <definedName name="focParameters">pmsm_foc_config.h!$A$1:$D$375</definedName>
    <definedName name="FW_DISABLE_IQ_LIMIT">'User Input Param Range_Scaling'!$P$146</definedName>
    <definedName name="FW_ID_REF_NEG_MAX">'User Input Param Range_Scaling'!$P$145</definedName>
    <definedName name="FW_ID_REF_RATIO_Q15">'User Input Param Range_Scaling'!$P$147</definedName>
    <definedName name="FW_MAX_VREF">'User Input Param Range_Scaling'!$P$144</definedName>
    <definedName name="GATE_DRIVER_IC_PROPOGATION_DELAY_US">'User Input Param Range_Scaling'!$D$212</definedName>
    <definedName name="GD_CSOPAMP_GAIN">'User Input Param Range_Scaling'!$D$209</definedName>
    <definedName name="GDRIVER_IC_DELAY">'User Input Param Range_Scaling'!$P$212</definedName>
    <definedName name="HALL_CLK_FREQ">'User Input Param Range_Scaling'!$P$33</definedName>
    <definedName name="HALL_CLK_PRE_SCALE">'User Input Param Range_Scaling'!$P$32</definedName>
    <definedName name="HALL_OFFSET_COMPENSATION_ANGLE_DEG">'User Input Param Range_Scaling'!$D$278</definedName>
    <definedName name="HALL_OFFSET_COMPENSATION_ANGLE_INIT">'User Input Param Range_Scaling'!$P$278</definedName>
    <definedName name="HALL_RAD_PER_PWM_RES_INC_FACTOR">'User Input Param Range_Scaling'!$P$35</definedName>
    <definedName name="HALL_SEC__PWM_CYCLE_CONV">'User Input Param Range_Scaling'!$P$42</definedName>
    <definedName name="HIGH_ON">pmsm_foc_const.h!$C$3</definedName>
    <definedName name="I_MAX_A">'User Input Param Range_Scaling'!$P$7</definedName>
    <definedName name="I2T_RESET_COUNTER">'User Input Param Range_Scaling'!#REF!</definedName>
    <definedName name="IMAG_LOW_LIMIT_SQUARE">'User Input Param Range_Scaling'!#REF!</definedName>
    <definedName name="IMD700A">pmsm_foc_const.h!$C$7</definedName>
    <definedName name="IMD700A_DVDD_3_3_V">pmsm_foc_const.h!$C$14</definedName>
    <definedName name="IMD700A_DVDD_5_0_V">pmsm_foc_const.h!$C$15</definedName>
    <definedName name="IPD_SENSE_CCU8_CURRENT_DECAY_COUNT">'User Input Param Range_Scaling'!$P$69</definedName>
    <definedName name="IPD_SENSE_CCU8_PULSE_WIDTH_COUNT">'User Input Param Range_Scaling'!$P$68</definedName>
    <definedName name="IPD_SENSE_PRESCALAR_VAL">'User Input Param Range_Scaling'!$P$67</definedName>
    <definedName name="IQ_LIMIT_BLANKING_TIME">'User Input Param Range_Scaling'!$P$179</definedName>
    <definedName name="IQ_RAMP_DOWN_STEP">'User Input Param Range_Scaling'!$P$95</definedName>
    <definedName name="IQ_RAMP_STEP_TIME_FCL_COUNT">'User Input Param Range_Scaling'!$P$96</definedName>
    <definedName name="IQ_RAMP_UP_STEP">'User Input Param Range_Scaling'!$P$94</definedName>
    <definedName name="IQ_REF_HIGH_LIMIT">'User Input Param Range_Scaling'!$P$92</definedName>
    <definedName name="IQ_REF_LOW_LIMIT">'User Input Param Range_Scaling'!$P$93</definedName>
    <definedName name="IQ_REGEN_BRK">'User Input Param Range_Scaling'!#REF!</definedName>
    <definedName name="IQ_REGEN_BRK_HIGH_LIMIT">'User Input Param Range_Scaling'!#REF!</definedName>
    <definedName name="IQ_REGEN_BRK_LOW_LIMIT">'User Input Param Range_Scaling'!#REF!</definedName>
    <definedName name="IQ_REGEN_BRK_RAMP_DOWN_STEP">'User Input Param Range_Scaling'!#REF!</definedName>
    <definedName name="IQ_REGEN_BRK_RAMP_UP_STEP">'User Input Param Range_Scaling'!#REF!</definedName>
    <definedName name="IQ_REGEN_BRK_STEP_TIME_FCL_COUNT">'User Input Param Range_Scaling'!#REF!</definedName>
    <definedName name="IS_GPIO_HIGH">pmsm_foc_const.h!$C$103</definedName>
    <definedName name="IS_GPIO_LOW">pmsm_foc_const.h!$C$104</definedName>
    <definedName name="Ki">'User Input Param Range_Scaling'!$D$259</definedName>
    <definedName name="KP_KI_SCALE_MAX">pmsm_foc_config.h!#REF!</definedName>
    <definedName name="KpHallPLL">'User Input Param Range_Scaling'!$P$41</definedName>
    <definedName name="KpHallPLL_DEC">'User Input Param Range_Scaling'!$P$43</definedName>
    <definedName name="KpHallPLL_SCALE">'User Input Param Range_Scaling'!$P$44</definedName>
    <definedName name="LIMIT_MAX_IQ">'User Input Param Range_Scaling'!$P$178</definedName>
    <definedName name="LIMIT_MAX_IS">'User Input Param Range_Scaling'!$P$174</definedName>
    <definedName name="LOW_ON">pmsm_foc_const.h!$C$4</definedName>
    <definedName name="LQ_RAW">'User Input Param Range_Scaling'!$R$215</definedName>
    <definedName name="MAX_ASSIST_TORQUE_LIMIT_EN_DIS">'User Input Param Range_Scaling'!$D$263</definedName>
    <definedName name="MAX_POWER_LIMIT_EN_DIS">'User Input Param Range_Scaling'!$D$274</definedName>
    <definedName name="MICRIUM_UC_ONLY">pmsm_foc_const.h!$C$71</definedName>
    <definedName name="MOTOR_FLUX_LINKAGE_CONSTANT">'User Input Param Range_Scaling'!$P$221</definedName>
    <definedName name="MOTOR_LD_SCALEDUP">'User Input Param Range_Scaling'!$P$217</definedName>
    <definedName name="MOTOR_LQ_SCALEDUP">'User Input Param Range_Scaling'!$P$216</definedName>
    <definedName name="MOTOR_LS_X_PWMFREQ_SCALEUP">'User Input Param Range_Scaling'!$P$164</definedName>
    <definedName name="MOTOR_MAX_SPEED_T_RAW">'User Input Param Range_Scaling'!$R$210</definedName>
    <definedName name="MOTOR_PHASE_CURRENT_SENSE">pmsm_foc_const.h!$C$67</definedName>
    <definedName name="MOTOR_R_SCALEDUP">'User Input Param Range_Scaling'!$P$219</definedName>
    <definedName name="MOTOR_SCALE_OF_FLUX_LINKAGE_CONSTANT">'User Input Param Range_Scaling'!$P$222</definedName>
    <definedName name="MOTOR_SCALE_OF_L">'User Input Param Range_Scaling'!$P$218</definedName>
    <definedName name="MOTOR_SCALE_OF_LS_X_PWMFREQ">'User Input Param Range_Scaling'!$P$165</definedName>
    <definedName name="MOTOR_SCALE_OF_R">'User Input Param Range_Scaling'!$P$220</definedName>
    <definedName name="MOTOR_STARTUP_DIRECT_FOC">pmsm_foc_const.h!$C$47</definedName>
    <definedName name="MOTOR_STARTUP_VF_OPEN_LOOP">pmsm_foc_const.h!$C$48</definedName>
    <definedName name="MOTOR_STOP_COASTING">pmsm_foc_const.h!$C$51</definedName>
    <definedName name="MOTOR_STOP_LOW_SIDE_BRAKE">pmsm_foc_const.h!$C$52</definedName>
    <definedName name="MTPA_ANGLE_ADV_Q31">'User Input Param Range_Scaling'!#REF!</definedName>
    <definedName name="MTPA_ANGLE_ADV_RATIO_Q15">'User Input Param Range_Scaling'!#REF!</definedName>
    <definedName name="MTPA_HIGH_LIMIT_RPM_INT">'User Input Param Range_Scaling'!#REF!</definedName>
    <definedName name="MTPA_LOW_LIMIT_RPM_INT">'User Input Param Range_Scaling'!#REF!</definedName>
    <definedName name="N_eRotorAngle_rad">'User Input Param Range_Scaling'!$P$24</definedName>
    <definedName name="N_eRotorAngle_T">'User Input Param Range_Scaling'!$R$24</definedName>
    <definedName name="N_eSpeed_rad_FCL">'User Input Param Range_Scaling'!$P$21</definedName>
    <definedName name="N_eSpeed_T">'User Input Param Range_Scaling'!$R$21</definedName>
    <definedName name="N_I_A">'User Input Param Range_Scaling'!$P$12</definedName>
    <definedName name="N_V_V">'User Input Param Range_Scaling'!$P$13</definedName>
    <definedName name="NOR_GAIN_CONST">'User Input Param Range_Scaling'!$D$257</definedName>
    <definedName name="NORMAL_GAIN_CONST">'User Input Param Range_Scaling'!$D$257</definedName>
    <definedName name="OCP_LEVEL">'User Input Param Range_Scaling'!$P$169</definedName>
    <definedName name="OCP_LEVEL_TIME">'User Input Param Range_Scaling'!$P$170</definedName>
    <definedName name="PI_FLUX_IK_LIMIT_MAX">'User Input Param Range_Scaling'!$P$119</definedName>
    <definedName name="PI_FLUX_IK_LIMIT_MIN">'User Input Param Range_Scaling'!$P$120</definedName>
    <definedName name="PI_FLUX_KI">'User Input Param Range_Scaling'!$P$115</definedName>
    <definedName name="PI_FLUX_KP">'User Input Param Range_Scaling'!$P$114</definedName>
    <definedName name="PI_FLUX_SCALE_KPKI">'User Input Param Range_Scaling'!$P$116</definedName>
    <definedName name="PI_FLUX_UK_LIMIT_MAX">'User Input Param Range_Scaling'!$P$117</definedName>
    <definedName name="PI_FLUX_UK_LIMIT_MIN">'User Input Param Range_Scaling'!$P$118</definedName>
    <definedName name="PI_FW_IK_LIMIT_MAX">'User Input Param Range_Scaling'!$P$156</definedName>
    <definedName name="PI_FW_IK_LIMIT_MIN">'User Input Param Range_Scaling'!$P$157</definedName>
    <definedName name="PI_FW_KI">'User Input Param Range_Scaling'!$P$152</definedName>
    <definedName name="PI_FW_KP">'User Input Param Range_Scaling'!$P$151</definedName>
    <definedName name="PI_FW_SCALE_KPKI">'User Input Param Range_Scaling'!$P$153</definedName>
    <definedName name="PI_FW_UK_LIMIT_MAX">'User Input Param Range_Scaling'!$P$154</definedName>
    <definedName name="PI_FW_UK_LIMIT_MIN">'User Input Param Range_Scaling'!$P$155</definedName>
    <definedName name="PI_PLL_HIGH_GAIN_DURATION_COUNT">'User Input Param Range_Scaling'!#REF!</definedName>
    <definedName name="PI_PLL_IK_LIMIT_MAX">'User Input Param Range_Scaling'!#REF!</definedName>
    <definedName name="PI_PLL_IK_LIMIT_MIN">'User Input Param Range_Scaling'!#REF!</definedName>
    <definedName name="PI_PLL_KI">'User Input Param Range_Scaling'!#REF!</definedName>
    <definedName name="PI_PLL_KI_INIT">'User Input Param Range_Scaling'!#REF!</definedName>
    <definedName name="PI_PLL_KP">'User Input Param Range_Scaling'!#REF!</definedName>
    <definedName name="PI_PLL_KP_INIT">'User Input Param Range_Scaling'!#REF!</definedName>
    <definedName name="PI_PLL_SCALE_KPKI">'User Input Param Range_Scaling'!#REF!</definedName>
    <definedName name="PI_PLL_UK_LIMIT_MAX">'User Input Param Range_Scaling'!#REF!</definedName>
    <definedName name="PI_PLL_UK_LIMIT_MIN">'User Input Param Range_Scaling'!#REF!</definedName>
    <definedName name="PI_SPEED_IK_LIMIT_MAX">'User Input Param Range_Scaling'!$P$139</definedName>
    <definedName name="PI_SPEED_IK_LIMIT_MIN">'User Input Param Range_Scaling'!$P$140</definedName>
    <definedName name="PI_SPEED_KI">'User Input Param Range_Scaling'!$P$135</definedName>
    <definedName name="PI_SPEED_KP">'User Input Param Range_Scaling'!$P$134</definedName>
    <definedName name="PI_SPEED_SCALE_KPKI">'User Input Param Range_Scaling'!$P$136</definedName>
    <definedName name="PI_SPEED_UK_LIMIT_MAX">'User Input Param Range_Scaling'!$P$137</definedName>
    <definedName name="PI_SPEED_UK_LIMIT_MIN">'User Input Param Range_Scaling'!$P$138</definedName>
    <definedName name="PI_TORQUE_IK_LIMIT_MAX">'User Input Param Range_Scaling'!$P$130</definedName>
    <definedName name="PI_TORQUE_IK_LIMIT_MIN">'User Input Param Range_Scaling'!$P$131</definedName>
    <definedName name="PI_TORQUE_KI">'User Input Param Range_Scaling'!$P$126</definedName>
    <definedName name="PI_TORQUE_KP">'User Input Param Range_Scaling'!$P$125</definedName>
    <definedName name="PI_TORQUE_SCALE_KPKI">'User Input Param Range_Scaling'!$P$127</definedName>
    <definedName name="PI_TORQUE_UK_LIMIT_MAX">'User Input Param Range_Scaling'!$P$128</definedName>
    <definedName name="PI_TORQUE_UK_LIMIT_MIN">'User Input Param Range_Scaling'!$P$129</definedName>
    <definedName name="PLL_VOLT_COMPENSATION_ENABLE">'User Input Param Range_Scaling'!#REF!</definedName>
    <definedName name="PMSM_FOC_ANGLE_000_DEGREE_Q31">pmsm_foc_const.h!$C$75</definedName>
    <definedName name="PMSM_FOC_ANGLE_030_DEGREE_Q31">pmsm_foc_const.h!$C$76</definedName>
    <definedName name="PMSM_FOC_ANGLE_060_DEGREE_Q31">pmsm_foc_const.h!$C$77</definedName>
    <definedName name="PMSM_FOC_ANGLE_090_DEGREE_Q31">pmsm_foc_const.h!$C$78</definedName>
    <definedName name="PMSM_FOC_ANGLE_120_DEGREE_Q31">pmsm_foc_const.h!$C$79</definedName>
    <definedName name="PMSM_FOC_ANGLE_150_DEGREE_Q31">pmsm_foc_const.h!$C$80</definedName>
    <definedName name="PMSM_FOC_ANGLE_180_DEGREE_Q31">pmsm_foc_const.h!$C$81</definedName>
    <definedName name="PMSM_FOC_ANGLE_210_DEGREE_Q31">pmsm_foc_const.h!$C$82</definedName>
    <definedName name="PMSM_FOC_ANGLE_240_DEGREE_Q31">pmsm_foc_const.h!$C$83</definedName>
    <definedName name="PMSM_FOC_ANGLE_270_DEGREE_Q31">pmsm_foc_const.h!$C$84</definedName>
    <definedName name="PMSM_FOC_ANGLE_300_DEGREE_Q31">pmsm_foc_const.h!$C$85</definedName>
    <definedName name="PMSM_FOC_ANGLE_330_DEGREE_Q31">pmsm_foc_const.h!$C$86</definedName>
    <definedName name="PMSM_FOC_ANGLE_INVALID">pmsm_foc_const.h!$C$87</definedName>
    <definedName name="PMSM_FOC_CCU4_SYNC_START">pmsm_foc_config.h!$C$283</definedName>
    <definedName name="PMSM_FOC_CCU8_SYNC_START">pmsm_foc_config.h!$C$282</definedName>
    <definedName name="PMSM_FOC_MOTOR_STATUS_STABLE">pmsm_foc_const.h!$C$55</definedName>
    <definedName name="PMSM_FOC_MOTOR_STATUS_TRANSITION">pmsm_foc_const.h!$C$56</definedName>
    <definedName name="PMSM_FOC_RAM_ATTRIBUTE">'User Input Param Range_Scaling'!$D$29</definedName>
    <definedName name="POT_R1">'User Input Param Range_Scaling'!$D$253</definedName>
    <definedName name="POT_R2">'User Input Param Range_Scaling'!$D$254</definedName>
    <definedName name="R_RAW">'User Input Param Range_Scaling'!$R$218</definedName>
    <definedName name="raw_HALL_SPEED_ACC_CONV">'User Input Param Range_Scaling'!$R$43</definedName>
    <definedName name="REGEN_EXIT_SPEED">'User Input Param Range_Scaling'!#REF!</definedName>
    <definedName name="REGEN_MIN_SPEED">'User Input Param Range_Scaling'!$P$47</definedName>
    <definedName name="ROTOR_IPD_INDUCTIVE_SENSING">pmsm_foc_const.h!$C$45</definedName>
    <definedName name="ROTOR_IPD_NONE">pmsm_foc_const.h!$C$43</definedName>
    <definedName name="ROTOR_IPD_PRE_ALIGNMENT">pmsm_foc_const.h!$C$44</definedName>
    <definedName name="ROTOR_PRE_ALIGNMENT_COUNT">'User Input Param Range_Scaling'!$P$62</definedName>
    <definedName name="ROTOR_PRE_ALIGNMENT_CURRENT_REF">'User Input Param Range_Scaling'!$P$61</definedName>
    <definedName name="ROTOR_ZERO_DEG_ID_RAMPUP_STEP">'User Input Param Range_Scaling'!$P$65</definedName>
    <definedName name="ROTOR_ZERO_DEG_ID_SVPWM_REF">'User Input Param Range_Scaling'!$P$63</definedName>
    <definedName name="ROTOR_ZERO_DEG_ID_TIME_MS">'User Input Param Range_Scaling'!$P$64</definedName>
    <definedName name="SCALE_UP_SINE_LUT">pmsm_foc_config.h!$C$83</definedName>
    <definedName name="SPEED_INNER_CURRENT_CTRL">pmsm_foc_const.h!$C$39</definedName>
    <definedName name="SPEED_RAMP_DOWN_STEP">'User Input Param Range_Scaling'!$P$102</definedName>
    <definedName name="SPEED_RAMP_STEP_TIME_FCL_COUNT">'User Input Param Range_Scaling'!$P$103</definedName>
    <definedName name="SPEED_RAMP_UP_STEP">'User Input Param Range_Scaling'!$P$101</definedName>
    <definedName name="SPEED_REF_HIGH_LIMIT">'User Input Param Range_Scaling'!$P$99</definedName>
    <definedName name="SPEED_REF_LOW_LIMIT">'User Input Param Range_Scaling'!$P$100</definedName>
    <definedName name="SPEED_RES_INC">'User Input Param Range_Scaling'!$P$208</definedName>
    <definedName name="SPEED_TO_ANGLE_CONV_FACTOR">'User Input Param Range_Scaling'!$P$26</definedName>
    <definedName name="SPEED_TO_ANGLE_CONV_FACTOR_raw">'User Input Param Range_Scaling'!$R$26</definedName>
    <definedName name="SPEED_TO_ANGLE_CONV_FACTOR_SCALE">'User Input Param Range_Scaling'!$P$27</definedName>
    <definedName name="SPEED_TO_RPM_SCALE">'User Input Param Range_Scaling'!$P$29</definedName>
    <definedName name="SPORT_GAIN_CONST">'User Input Param Range_Scaling'!$D$258</definedName>
    <definedName name="STALL_COEFFICIENT_SCALE">'User Input Param Range_Scaling'!$P$162</definedName>
    <definedName name="STALL_COEFFICIENT_SCALEUP">'User Input Param Range_Scaling'!$P$161</definedName>
    <definedName name="STALL_CURRENT">'User Input Param Range_Scaling'!$P$160</definedName>
    <definedName name="STALL_THRESHOLD_TIME">'User Input Param Range_Scaling'!$P$163</definedName>
    <definedName name="STANDARD_SVM_5_SEGMENT">pmsm_foc_const.h!$C$19</definedName>
    <definedName name="STANDARD_SVM_7_SEGMENT">pmsm_foc_const.h!$C$18</definedName>
    <definedName name="STARTUP_VF_OFFSET">'User Input Param Range_Scaling'!$P$54</definedName>
    <definedName name="STARTUP_VF_SPEED_RAMP_UP_RATE">'User Input Param Range_Scaling'!$P$57</definedName>
    <definedName name="STARTUP_VF_STABILIZATION_COUNT">'User Input Param Range_Scaling'!$P$58</definedName>
    <definedName name="STARTUP_VF_TRANSITION_SPEED">'User Input Param Range_Scaling'!$P$56</definedName>
    <definedName name="STARTUP_VF_V_PER_HZ_CONST">'User Input Param Range_Scaling'!$P$55</definedName>
    <definedName name="SUMOF_I2_LIMIT_MAX">'User Input Param Range_Scaling'!#REF!</definedName>
    <definedName name="SUMOF_I2T_LIMIT_MAX">'User Input Param Range_Scaling'!#REF!</definedName>
    <definedName name="SVM_LUT_SCALE">pmsm_foc_config.h!$C$84</definedName>
    <definedName name="SVPWM_MAX_LINEAR_RANGE">pmsm_foc_const.h!$C$21</definedName>
    <definedName name="SVPWM_MAX_OVERMOD_RANGE">pmsm_foc_const.h!$C$20</definedName>
    <definedName name="SVPWM_MAX_VREF">'User Input Param Range_Scaling'!$P$79</definedName>
    <definedName name="SWITCH_TURN_OFF_TIME">'User Input Param Range_Scaling'!#REF!</definedName>
    <definedName name="SWITCH_TURN_ON_TIME">'User Input Param Range_Scaling'!#REF!</definedName>
    <definedName name="SYSTEM_IDLE_TIME_COUNT">'User Input Param Range_Scaling'!$P$247</definedName>
    <definedName name="TEMP_SENSOR_COEFFICIENT_Q15">'User Input Param Range_Scaling'!$P$193</definedName>
    <definedName name="TEMP_SENSOR_OFFSET">'User Input Param Range_Scaling'!$P$192</definedName>
    <definedName name="THREE_SHUNT_ASYNC_CONV">pmsm_foc_const.h!$C$33</definedName>
    <definedName name="THREE_SHUNT_SYNC_CONV">pmsm_foc_const.h!$C$34</definedName>
    <definedName name="TORQUE">pmsm_foc_const.h!$B$38</definedName>
    <definedName name="TORQUE_CONST">'User Input Param Range_Scaling'!$D$255</definedName>
    <definedName name="TORQUE_CTRL">pmsm_foc_const.h!$B$38</definedName>
    <definedName name="TORQUE_LIMIT_RAW">'User Input Param Range_Scaling'!$R$279</definedName>
    <definedName name="TRANSITION_FIRST_KICK_COUNT">'User Input Param Range_Scaling'!$P$74</definedName>
    <definedName name="TRANSITION_FIRST_KICK_VALUE">'User Input Param Range_Scaling'!$P$73</definedName>
    <definedName name="USER_ABS_MAX_BOARD_TEMP_C">'User Input Param Range_Scaling'!$D$195</definedName>
    <definedName name="USER_ADC_CALIBRATION">'User Input Param Range_Scaling'!$D$106</definedName>
    <definedName name="USER_ALIGNMENT_VREF_SLEWRATE">'User Input Param Range_Scaling'!$P$37</definedName>
    <definedName name="USER_AUTHENTICATION_ID">'User Input Param Range_Scaling'!$D$19</definedName>
    <definedName name="USER_BOARD_OVERTEMP_PROTECTION_ENABLE">'User Input Param Range_Scaling'!$D$191</definedName>
    <definedName name="USER_BOOTSTRAP_BRAKE_TIME_MS">'User Input Param Range_Scaling'!$D$50</definedName>
    <definedName name="USER_CCU8_PWM_FREQ_HZ">'User Input Param Range_Scaling'!$D$204</definedName>
    <definedName name="USER_CP_CLK_FREQ_kHz">'User Input Param Range_Scaling'!$D$230</definedName>
    <definedName name="USER_CP_CLK_SS_EN_DIS">'User Input Param Range_Scaling'!$D$231</definedName>
    <definedName name="USER_CURRENT_SENSING">'User Input Param Range_Scaling'!$D$211</definedName>
    <definedName name="USER_DC_LINK_DIVIDER_RATIO">'User Input Param Range_Scaling'!$D$218</definedName>
    <definedName name="USER_DEAD_TIME_US">'User Input Param Range_Scaling'!$D$203</definedName>
    <definedName name="USER_DECELERATION_VDC_CLAMPING_ENABLE">'User Input Param Range_Scaling'!$D$188</definedName>
    <definedName name="USER_DQ_DECOUPLING">'User Input Param Range_Scaling'!$D$110</definedName>
    <definedName name="USER_DRIVER_SHUTDOWN_DELAY_mSec">'User Input Param Range_Scaling'!$D$247</definedName>
    <definedName name="USER_FAST_CTRL_LOOP_PERIOD_US">'User Input Param Range_Scaling'!$D$82</definedName>
    <definedName name="USER_FF_PLL_BEMF_2_DELTA_THETA">'User Input Param Range_Scaling'!#REF!</definedName>
    <definedName name="USER_FF_PLL_ENABLE">'User Input Param Range_Scaling'!#REF!</definedName>
    <definedName name="USER_FF_PLL_GAIN">'User Input Param Range_Scaling'!#REF!</definedName>
    <definedName name="USER_FIRST_KICK_TIME_mS">'User Input Param Range_Scaling'!$D$74</definedName>
    <definedName name="USER_FIRST_KICK_VALUE_V">'User Input Param Range_Scaling'!$D$73</definedName>
    <definedName name="USER_FOC_CTRL_SCHEME">'User Input Param Range_Scaling'!$D$36</definedName>
    <definedName name="USER_FW_DISABLE_IQ_LIMIT_A">'User Input Param Range_Scaling'!$D$146</definedName>
    <definedName name="USER_FW_ENABLE">'User Input Param Range_Scaling'!$D$143</definedName>
    <definedName name="USER_FW_LPF">'User Input Param Range_Scaling'!$D$147</definedName>
    <definedName name="USER_FW_MAX_VREF">'User Input Param Range_Scaling'!$D$144</definedName>
    <definedName name="USER_FW_MAX_VREF_Q15">'User Input Param Range_Scaling'!$U$144</definedName>
    <definedName name="USER_GD_DT_FALL">'User Input Param Range_Scaling'!$D$244</definedName>
    <definedName name="USER_GD_DT_RISE">'User Input Param Range_Scaling'!$D$243</definedName>
    <definedName name="USER_GD_I_PRE_EN">'User Input Param Range_Scaling'!$D$232</definedName>
    <definedName name="USER_GD_IHS_SINK">'User Input Param Range_Scaling'!$D$236</definedName>
    <definedName name="USER_GD_IHS_SRC">'User Input Param Range_Scaling'!$D$235</definedName>
    <definedName name="USER_GD_ILS_SINK">'User Input Param Range_Scaling'!$D$238</definedName>
    <definedName name="USER_GD_ILS_SRC">'User Input Param Range_Scaling'!$D$237</definedName>
    <definedName name="USER_GD_IPRE_SINK">'User Input Param Range_Scaling'!$D$234</definedName>
    <definedName name="USER_GD_IPRE_SRC">'User Input Param Range_Scaling'!$D$233</definedName>
    <definedName name="USER_GD_PVCC_SETPT">'User Input Param Range_Scaling'!$D$229</definedName>
    <definedName name="USER_GD_TDRIVE1">'User Input Param Range_Scaling'!$D$239</definedName>
    <definedName name="USER_GD_TDRIVE2">'User Input Param Range_Scaling'!$D$240</definedName>
    <definedName name="USER_GD_TDRIVE3">'User Input Param Range_Scaling'!$D$241</definedName>
    <definedName name="USER_GD_TDRIVE4">'User Input Param Range_Scaling'!$D$242</definedName>
    <definedName name="USER_HALL_EDGE_COUNT">'User Input Param Range_Scaling'!$P$38</definedName>
    <definedName name="USER_I2T_IMAG_LOW_LIMIT_INT">'User Input Param Range_Scaling'!#REF!</definedName>
    <definedName name="USER_I2T_STALL_PROTECTION">'User Input Param Range_Scaling'!#REF!</definedName>
    <definedName name="USER_IQ_CURRENT_ALLOWED_A">'User Input Param Range_Scaling'!$D$92</definedName>
    <definedName name="USER_IQ_LIMIT_BLANKING_TIME_ms">'User Input Param Range_Scaling'!$D$179</definedName>
    <definedName name="USER_IQ_RAMP_DOWN_STEP_A">'User Input Param Range_Scaling'!$D$95</definedName>
    <definedName name="USER_IQ_RAMP_UP_STEP_A">'User Input Param Range_Scaling'!$D$94</definedName>
    <definedName name="USER_IQ_REF_LOW_LIMIT_A">'User Input Param Range_Scaling'!$D$93</definedName>
    <definedName name="USER_IQ_REGEN_BRK_A">'User Input Param Range_Scaling'!$D$96</definedName>
    <definedName name="USER_IQ_REGEN_BRK_HIGH_LIMIT_A">'User Input Param Range_Scaling'!#REF!</definedName>
    <definedName name="USER_IQ_REGEN_BRK_LOW_LIMIT_A">'User Input Param Range_Scaling'!#REF!</definedName>
    <definedName name="USER_IQ_REGEN_BRK_RAMP_DOWN_STEP_A">'User Input Param Range_Scaling'!#REF!</definedName>
    <definedName name="USER_IQ_REGEN_BRK_RAMP_UP_STEP_A">'User Input Param Range_Scaling'!#REF!</definedName>
    <definedName name="USER_LIMIT_FW_MAX_NEG_ID_REF_A">'User Input Param Range_Scaling'!$D$145</definedName>
    <definedName name="USER_LIMIT_MAX_IQ_A">'User Input Param Range_Scaling'!$D$178</definedName>
    <definedName name="USER_LIMIT_MAX_IS_A">'User Input Param Range_Scaling'!$D$174</definedName>
    <definedName name="USER_MAP_CURRENT_TO_DCLINK">'User Input Param Range_Scaling'!$D$168</definedName>
    <definedName name="USER_MAX_BOARD_TEMP_START_C">'User Input Param Range_Scaling'!$D$194</definedName>
    <definedName name="USER_MAX_CURRENT_LIMIT_ENABLE">'User Input Param Range_Scaling'!$D$173</definedName>
    <definedName name="USER_MCLK_FREQ_MHz">'User Input Param Range_Scaling'!$D$223</definedName>
    <definedName name="USER_MOSFET">'User Input Param Range_Scaling'!#REF!</definedName>
    <definedName name="USER_MOTOR_BI_DIRECTION_CTRL">'User Input Param Range_Scaling'!$D$39</definedName>
    <definedName name="USER_MOTOR_FLUX_LINKAGE_CONSTANT">'User Input Param Range_Scaling'!$D$10</definedName>
    <definedName name="USER_MOTOR_LD_PER_PHASE_uH">'User Input Param Range_Scaling'!$D$8</definedName>
    <definedName name="USER_MOTOR_LQ_PER_PHASE_uH">'User Input Param Range_Scaling'!$D$7</definedName>
    <definedName name="USER_MOTOR_PH_OFFSET_CALIBRATION">'User Input Param Range_Scaling'!$D$107</definedName>
    <definedName name="USER_MOTOR_POLE_PAIR">'User Input Param Range_Scaling'!$D$9</definedName>
    <definedName name="USER_MOTOR_R_PER_PHASE_OHM">'User Input Param Range_Scaling'!$D$6</definedName>
    <definedName name="USER_MOTOR_SPEED_HIGH_LIMIT_RPM">'User Input Param Range_Scaling'!$D$15</definedName>
    <definedName name="USER_MOTOR_SPEED_HIGH_LIMIT_RPM_INPUT">'User Input Param Range_Scaling'!$D$14</definedName>
    <definedName name="USER_MOTOR_SPEED_LOW_LIMIT_RPM">'User Input Param Range_Scaling'!$D$13</definedName>
    <definedName name="USER_MOTOR_STALL_DETECTION_ENABLE">'User Input Param Range_Scaling'!$D$159</definedName>
    <definedName name="USER_MOTOR_STARTUP_METHOD">'User Input Param Range_Scaling'!$D$43</definedName>
    <definedName name="USER_MOTOR_STOP_METHOD">'User Input Param Range_Scaling'!$D$44</definedName>
    <definedName name="USER_MTPA_MAX_NEG_ID_INT">'User Input Param Range_Scaling'!#REF!</definedName>
    <definedName name="USER_OCP_LEVEL_B">#REF!</definedName>
    <definedName name="USER_OCP_LEVEL_B_TIME">#REF!</definedName>
    <definedName name="USER_OCP_LEVEL_C">#REF!</definedName>
    <definedName name="USER_OCP_LEVEL_C_TIME">#REF!</definedName>
    <definedName name="USER_OCP_LEVEL_RMS_A">'User Input Param Range_Scaling'!$D$169</definedName>
    <definedName name="USER_OCP_LEVEL_TIME_ms">'User Input Param Range_Scaling'!$D$170</definedName>
    <definedName name="USER_OCP_LEVELS_PROTECTION_ENABLE">'User Input Param Range_Scaling'!$D$171</definedName>
    <definedName name="USER_OVERCURRENT_PROTECTION_ENABLE">'User Input Param Range_Scaling'!$D$167</definedName>
    <definedName name="USER_PASSWORD">'User Input Param Range_Scaling'!$D$20</definedName>
    <definedName name="USER_PCLK_FREQ_MHz">'User Input Param Range_Scaling'!$D$224</definedName>
    <definedName name="USER_PI_FLUX_BW_HZ">'User Input Param Range_Scaling'!$D$114</definedName>
    <definedName name="USER_PI_FLUX_DAMP_RATIO">'User Input Param Range_Scaling'!$D$115</definedName>
    <definedName name="USER_PI_FLUX_ENABLE_ANTIWINDUP">'User Input Param Range_Scaling'!$D$120</definedName>
    <definedName name="USER_PI_FLUX_KI">'User Input Param Range_Scaling'!$D$117</definedName>
    <definedName name="USER_PI_FLUX_KP">'User Input Param Range_Scaling'!$D$116</definedName>
    <definedName name="USER_PI_FLUX_UK_LIMIT_MAX">'User Input Param Range_Scaling'!$D$118</definedName>
    <definedName name="USER_PI_FLUX_UK_LIMIT_MIN">'User Input Param Range_Scaling'!$D$119</definedName>
    <definedName name="USER_PI_FW_ENABLE_ANTIWINDUP">'User Input Param Range_Scaling'!$D$155</definedName>
    <definedName name="USER_PI_FW_KI">'User Input Param Range_Scaling'!$D$152</definedName>
    <definedName name="USER_PI_FW_KP">'User Input Param Range_Scaling'!$D$151</definedName>
    <definedName name="USER_PI_FW_UK_LIMIT_MAX">'User Input Param Range_Scaling'!$D$153</definedName>
    <definedName name="USER_PI_FW_UK_LIMIT_MIN">'User Input Param Range_Scaling'!$D$154</definedName>
    <definedName name="USER_PI_PLL_BW_HZ">'User Input Param Range_Scaling'!#REF!</definedName>
    <definedName name="USER_PI_PLL_BW_HZ_INIT">'User Input Param Range_Scaling'!#REF!</definedName>
    <definedName name="USER_PI_PLL_DAMP_RATIO">'User Input Param Range_Scaling'!#REF!</definedName>
    <definedName name="USER_PI_PLL_GAIN_SCHEDULING_ENABLE">'User Input Param Range_Scaling'!#REF!</definedName>
    <definedName name="USER_PI_PLL_KI">'User Input Param Range_Scaling'!#REF!</definedName>
    <definedName name="USER_PI_PLL_KI_INIT">'User Input Param Range_Scaling'!#REF!</definedName>
    <definedName name="USER_PI_PLL_KP">'User Input Param Range_Scaling'!#REF!</definedName>
    <definedName name="USER_PI_PLL_KP_INIT">'User Input Param Range_Scaling'!#REF!</definedName>
    <definedName name="USER_PI_PLL_UK_LIMIT_MAX">'User Input Param Range_Scaling'!#REF!</definedName>
    <definedName name="USER_PI_PLL_UK_LIMIT_MIN">'User Input Param Range_Scaling'!#REF!</definedName>
    <definedName name="USER_PI_SPEED_ENABLE_ANTIWINDUP">'User Input Param Range_Scaling'!$D$138</definedName>
    <definedName name="USER_PI_SPEED_KI">'User Input Param Range_Scaling'!$D$135</definedName>
    <definedName name="USER_PI_SPEED_KP">'User Input Param Range_Scaling'!$D$134</definedName>
    <definedName name="USER_PI_SPEED_UK_LIMIT_MAX">'User Input Param Range_Scaling'!$D$136</definedName>
    <definedName name="USER_PI_SPEED_UK_LIMIT_MIN">'User Input Param Range_Scaling'!$D$137</definedName>
    <definedName name="USER_PI_TORQUE_BW_HZ">'User Input Param Range_Scaling'!$D$123</definedName>
    <definedName name="USER_PI_TORQUE_DAMP_RATIO">'User Input Param Range_Scaling'!$D$124</definedName>
    <definedName name="USER_PI_TORQUE_ENABLE_ANTIWINDUP">'User Input Param Range_Scaling'!$D$129</definedName>
    <definedName name="USER_PI_TORQUE_KI">'User Input Param Range_Scaling'!$D$126</definedName>
    <definedName name="USER_PI_TORQUE_KP">'User Input Param Range_Scaling'!$D$125</definedName>
    <definedName name="USER_PI_TORQUE_UK_LIMIT_MAX">'User Input Param Range_Scaling'!$D$127</definedName>
    <definedName name="USER_PI_TORQUE_UK_LIMIT_MIN">'User Input Param Range_Scaling'!$D$128</definedName>
    <definedName name="USER_PLL_GAIN_RAMP_STEP">'User Input Param Range_Scaling'!#REF!</definedName>
    <definedName name="USER_PLL_GAIN_SLEW_RATE">'User Input Param Range_Scaling'!#REF!</definedName>
    <definedName name="USER_PLL_LPF">'User Input Param Range_Scaling'!#REF!</definedName>
    <definedName name="USER_PLL_SPEED_LPF">'User Input Param Range_Scaling'!#REF!</definedName>
    <definedName name="USER_PMSM_FOC_MTPA_CTRL">#REF!</definedName>
    <definedName name="USER_POT_ADC_LPF">'User Input Param Range_Scaling'!$D$26</definedName>
    <definedName name="USER_PWM_FREQ_SCALE_FACTOR">'User Input Param Range_Scaling'!#REF!</definedName>
    <definedName name="USER_PWM_FREQ_SCALED">'User Input Param Range_Scaling'!#REF!</definedName>
    <definedName name="USER_R_SHUNT_OHM">'User Input Param Range_Scaling'!$D$208</definedName>
    <definedName name="USER_REF_SETTING">'User Input Param Range_Scaling'!$D$23</definedName>
    <definedName name="USER_REGEN_EXIT_SPEED">'User Input Param Range_Scaling'!#REF!</definedName>
    <definedName name="USER_REGEN_MIN_SPEED">'User Input Param Range_Scaling'!$D$47</definedName>
    <definedName name="USER_REGN_EXIT_SPEED">'User Input Param Range_Scaling'!#REF!</definedName>
    <definedName name="USER_ROTOR_IPD_IND_SENSE_CURRENT_DECAY_TIME_mS">'User Input Param Range_Scaling'!$D$69</definedName>
    <definedName name="USER_ROTOR_IPD_IND_SENSE_PATTERN_ONTIME_mS">'User Input Param Range_Scaling'!$D$68</definedName>
    <definedName name="USER_ROTOR_IPD_METHOD">'User Input Param Range_Scaling'!$D$42</definedName>
    <definedName name="USER_ROTOR_PRE_ALIGNMENT_CURRENT_A">'User Input Param Range_Scaling'!$D$61</definedName>
    <definedName name="USER_ROTOR_PRE_ALIGNMENT_TIME_MS">'User Input Param Range_Scaling'!$D$62</definedName>
    <definedName name="USER_ROTOR_ZERO_DEG_ID_SVPWM_REF_V">'User Input Param Range_Scaling'!$D$63</definedName>
    <definedName name="USER_ROTOR_ZERO_DEG_ID_TIME_MS">'User Input Param Range_Scaling'!$D$64</definedName>
    <definedName name="USER_SLOW_CTRL_LOOP_PERIOD_US">'User Input Param Range_Scaling'!$D$83</definedName>
    <definedName name="USER_SPEED_RAMP_DOWN_STEP_RPM">'User Input Param Range_Scaling'!$D$102</definedName>
    <definedName name="USER_SPEED_RAMP_UP_STEP_RPM">'User Input Param Range_Scaling'!$D$101</definedName>
    <definedName name="USER_SPEED_REF_HIGH_LIMIT_RPM">'User Input Param Range_Scaling'!$D$99</definedName>
    <definedName name="USER_SPEED_REF_LOW_LIMIT_RPM">'User Input Param Range_Scaling'!$D$100</definedName>
    <definedName name="USER_STALL_COEFFICIENT">'User Input Param Range_Scaling'!$D$161</definedName>
    <definedName name="USER_STALL_COUNT">'User Input Param Range_Scaling'!$P$40</definedName>
    <definedName name="USER_STALL_CURRENT_A">'User Input Param Range_Scaling'!$D$160</definedName>
    <definedName name="USER_STALL_THRESHOLD_TIME_ms">'User Input Param Range_Scaling'!$D$162</definedName>
    <definedName name="USER_STARTUP_VF_STABILIZATION_TIME_mS">'User Input Param Range_Scaling'!$D$58</definedName>
    <definedName name="USER_SVM_OVERMODULATION">'User Input Param Range_Scaling'!$D$79</definedName>
    <definedName name="USER_SVM_SINE_LUT_SIZE">'User Input Param Range_Scaling'!$D$78</definedName>
    <definedName name="USER_SVM_SWITCHING_SCHEME">'User Input Param Range_Scaling'!$D$77</definedName>
    <definedName name="USER_SWITCH_TURN_OFF_TIME">'User Input Param Range_Scaling'!#REF!</definedName>
    <definedName name="USER_SWITCH_TURN_ON_TIME">'User Input Param Range_Scaling'!#REF!</definedName>
    <definedName name="USER_TEMP_SENSOR_0C_OUTPUT_mV">'User Input Param Range_Scaling'!$D$192</definedName>
    <definedName name="USER_TEMP_SENSOR_COEFFICIENT_mV_C">'User Input Param Range_Scaling'!$D$193</definedName>
    <definedName name="USER_TH_POT_ADC_START">'User Input Param Range_Scaling'!$D$24</definedName>
    <definedName name="USER_TH_POT_ADC_STOP">'User Input Param Range_Scaling'!$D$25</definedName>
    <definedName name="USER_TORQUE_LIMIT_ENABLE">'User Input Param Range_Scaling'!$D$177</definedName>
    <definedName name="USER_UCPROBE_GUI">'User Input Param Range_Scaling'!$D$32</definedName>
    <definedName name="USER_UCPROBE_OSCILLOSCOPE">'User Input Param Range_Scaling'!$D$33</definedName>
    <definedName name="USER_VDC_LINK_V">'User Input Param Range_Scaling'!$D$202</definedName>
    <definedName name="USER_VDC_LPF">'User Input Param Range_Scaling'!$D$185</definedName>
    <definedName name="USER_VDC_OVER_VOLTAGE_LIMIT_V">'User Input Param Range_Scaling'!$D$183</definedName>
    <definedName name="USER_VDC_UNDER_VOLTAGE_LIMIT_V">'User Input Param Range_Scaling'!$D$184</definedName>
    <definedName name="USER_VDC_UV_OV_PROTECTION_ENABLE">'User Input Param Range_Scaling'!$D$182</definedName>
    <definedName name="USER_VDC_VOLT_COMPENSATION">'User Input Param Range_Scaling'!$D$105</definedName>
    <definedName name="USER_VF_OFFSET_V">'User Input Param Range_Scaling'!$D$54</definedName>
    <definedName name="USER_VF_SPEED_RAMPUP_RATE_RPM_PER_S">'User Input Param Range_Scaling'!$D$57</definedName>
    <definedName name="USER_VF_TRANSITION_SPEED_RPM">'User Input Param Range_Scaling'!$D$56</definedName>
    <definedName name="USER_VF_V_PER_HZ">'User Input Param Range_Scaling'!$D$55</definedName>
    <definedName name="USER_VQ_INITIAL_VALUE_V">'User Input Param Range_Scaling'!$D$72</definedName>
    <definedName name="USER_VQ_REF_HIGH_LIMIT_V">'User Input Param Range_Scaling'!$D$86</definedName>
    <definedName name="USER_VQ_REF_LOW_LIMIT_V">'User Input Param Range_Scaling'!$D$87</definedName>
    <definedName name="USER_WATCH_DOG_TIMER">'User Input Param Range_Scaling'!$D$198</definedName>
    <definedName name="VADC_DCLINK_INV">'User Input Param Range_Scaling'!#REF!</definedName>
    <definedName name="VADC_DCLINK_T">'User Input Param Range_Scaling'!$P$202</definedName>
    <definedName name="VADC_INV_INT">'User Input Param Range_Scaling'!#REF!</definedName>
    <definedName name="VADC_INV_INT_SCALE">'User Input Param Range_Scaling'!#REF!</definedName>
    <definedName name="VAREF_V">'User Input Param Range_Scaling'!$D$226</definedName>
    <definedName name="VDC">'User Input Param Range_Scaling'!$D$202</definedName>
    <definedName name="VDC_ADC_TO_mV">'User Input Param Range_Scaling'!$P$80</definedName>
    <definedName name="VDC_ADC_TO_mV_SCALE">'User Input Param Range_Scaling'!$P$81</definedName>
    <definedName name="VDC_OVER_VOLTAGE_LIMIT">'User Input Param Range_Scaling'!$P$183</definedName>
    <definedName name="VDC_UNDER_VOLTAGE_LIMIT">'User Input Param Range_Scaling'!$P$184</definedName>
    <definedName name="VDD">'User Input Param Range_Scaling'!$D$210</definedName>
    <definedName name="VF_OPEN_LOOP_CTRL">pmsm_foc_const.h!$C$40</definedName>
    <definedName name="VQ_INITIAL_VALUE">'User Input Param Range_Scaling'!$P$72</definedName>
    <definedName name="VQ_RAMP_DOWN_STEP">'User Input Param Range_Scaling'!$P$89</definedName>
    <definedName name="VQ_RAMP_DOWN_STEP_V">'User Input Param Range_Scaling'!$D$89</definedName>
    <definedName name="VQ_RAMP_STEP_TIME_FCL_COUNT">'User Input Param Range_Scaling'!$P$90</definedName>
    <definedName name="VQ_RAMP_UP_STEP">'User Input Param Range_Scaling'!$P$88</definedName>
    <definedName name="VQ_RAMP_UP_STEP_V">'User Input Param Range_Scaling'!$D$88</definedName>
    <definedName name="VQ_REF_HIGH_LIMIT">'User Input Param Range_Scaling'!$P$86</definedName>
    <definedName name="VQ_REF_LOW_LIMIT">'User Input Param Range_Scaling'!$P$87</definedName>
    <definedName name="VQ_VOLTAGE_CTRL">pmsm_foc_const.h!$C$37</definedName>
    <definedName name="WINDOW_SIZE">'User Input Param Range_Scaling'!$D$251</definedName>
    <definedName name="WINDOW_SIZE_DIV_SCALE">'User Input Param Range_Scaling'!$P$251</definedName>
    <definedName name="zxczxc">'User Input Param Range_Scaling'!$D$117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4" i="4" l="1"/>
  <c r="P41" i="1"/>
  <c r="P44" i="1"/>
  <c r="P278" i="1"/>
  <c r="C335" i="4" a="1"/>
  <c r="C335" i="4" s="1"/>
  <c r="D15" i="1"/>
  <c r="F17" i="1"/>
  <c r="C333" i="4"/>
  <c r="C332" i="4"/>
  <c r="C292" i="4"/>
  <c r="C291" i="4"/>
  <c r="P251" i="1"/>
  <c r="C320" i="4" s="1"/>
  <c r="J117" i="1"/>
  <c r="J125" i="1" l="1"/>
  <c r="J126" i="1"/>
  <c r="J118" i="1"/>
  <c r="D271" i="1" l="1"/>
  <c r="C319" i="4"/>
  <c r="C318" i="4"/>
  <c r="C330" i="4"/>
  <c r="P262" i="1"/>
  <c r="D16" i="1" s="1"/>
  <c r="T277" i="1"/>
  <c r="P264" i="1" l="1"/>
  <c r="P275" i="1" s="1"/>
  <c r="R275" i="1" s="1"/>
  <c r="P174" i="1"/>
  <c r="D261" i="1"/>
  <c r="R257" i="1" s="1"/>
  <c r="S276" i="1" l="1"/>
  <c r="P276" i="1"/>
  <c r="C331" i="4" s="1"/>
  <c r="R255" i="1"/>
  <c r="R253" i="1"/>
  <c r="D184" i="1"/>
  <c r="D183" i="1"/>
  <c r="G88" i="1"/>
  <c r="P13" i="1" l="1"/>
  <c r="D86" i="1" s="1"/>
  <c r="P63" i="1" l="1"/>
  <c r="C124" i="4" s="1"/>
  <c r="R47" i="1"/>
  <c r="C213" i="4" l="1"/>
  <c r="C188" i="4" l="1"/>
  <c r="C190" i="4"/>
  <c r="C193" i="4"/>
  <c r="C191" i="4"/>
  <c r="P40" i="1"/>
  <c r="C192" i="4" s="1"/>
  <c r="F24" i="1" l="1"/>
  <c r="C53" i="4" l="1"/>
  <c r="C109" i="4" l="1"/>
  <c r="C277" i="4" l="1"/>
  <c r="R21" i="1" l="1"/>
  <c r="R101" i="1" l="1"/>
  <c r="K184" i="1"/>
  <c r="K183" i="1"/>
  <c r="C15" i="4"/>
  <c r="C14" i="4"/>
  <c r="C306" i="4" l="1"/>
  <c r="C305" i="4" l="1"/>
  <c r="C304" i="4"/>
  <c r="C303" i="4"/>
  <c r="C302" i="4"/>
  <c r="C301" i="4"/>
  <c r="C300" i="4"/>
  <c r="C299" i="4"/>
  <c r="C298" i="4"/>
  <c r="C297" i="4"/>
  <c r="C296" i="4"/>
  <c r="C295" i="4"/>
  <c r="C294" i="4"/>
  <c r="C293" i="4"/>
  <c r="C290" i="4"/>
  <c r="C287" i="4" l="1"/>
  <c r="C241" i="4" l="1"/>
  <c r="C262" i="4"/>
  <c r="C252" i="4"/>
  <c r="C231" i="4"/>
  <c r="D116" i="1" l="1"/>
  <c r="D124" i="1"/>
  <c r="D126" i="1"/>
  <c r="D117" i="1"/>
  <c r="D125" i="1" l="1"/>
  <c r="C146" i="4"/>
  <c r="R24" i="1" l="1"/>
  <c r="P24" i="1"/>
  <c r="R102" i="1" l="1"/>
  <c r="R103" i="1" l="1"/>
  <c r="P103" i="1" s="1"/>
  <c r="P102" i="1" s="1"/>
  <c r="C157" i="4"/>
  <c r="C24" i="4"/>
  <c r="C27" i="4"/>
  <c r="C28" i="4"/>
  <c r="C31" i="4"/>
  <c r="C21" i="4"/>
  <c r="C107" i="4"/>
  <c r="P101" i="1" l="1"/>
  <c r="C18" i="4"/>
  <c r="C158" i="4"/>
  <c r="C159" i="4"/>
  <c r="C176" i="4"/>
  <c r="C283" i="4" l="1"/>
  <c r="C101" i="4"/>
  <c r="C91" i="4"/>
  <c r="C166" i="4"/>
  <c r="C104" i="4"/>
  <c r="C162" i="4"/>
  <c r="C143" i="4"/>
  <c r="C140" i="4"/>
  <c r="C153" i="4"/>
  <c r="C150" i="4"/>
  <c r="C149" i="4"/>
  <c r="C137" i="4"/>
  <c r="C82" i="4" l="1"/>
  <c r="C81" i="4"/>
  <c r="C80" i="4"/>
  <c r="C41" i="4"/>
  <c r="C40" i="4"/>
  <c r="C39" i="4"/>
  <c r="C38" i="4"/>
  <c r="C34" i="4"/>
  <c r="C35" i="4"/>
  <c r="C171" i="4"/>
  <c r="C21" i="5"/>
  <c r="P79" i="1" s="1"/>
  <c r="C20" i="5"/>
  <c r="C85" i="4" l="1"/>
  <c r="C282" i="4"/>
  <c r="C284" i="4" s="1"/>
  <c r="C279" i="4"/>
  <c r="C278" i="4"/>
  <c r="C276" i="4"/>
  <c r="C275" i="4"/>
  <c r="C274" i="4"/>
  <c r="C273" i="4"/>
  <c r="C272" i="4"/>
  <c r="C271" i="4"/>
  <c r="C270" i="4"/>
  <c r="C269" i="4"/>
  <c r="C267" i="4"/>
  <c r="C268" i="4"/>
  <c r="C266" i="4"/>
  <c r="C265" i="4"/>
  <c r="C129" i="4" l="1"/>
  <c r="P193" i="1" l="1"/>
  <c r="C45" i="4" s="1"/>
  <c r="P192" i="1"/>
  <c r="C44" i="4" s="1"/>
  <c r="K56" i="1" l="1"/>
  <c r="K102" i="1" l="1"/>
  <c r="K101" i="1"/>
  <c r="F15" i="1"/>
  <c r="P162" i="1" l="1"/>
  <c r="P161" i="1" s="1"/>
  <c r="C60" i="4"/>
  <c r="D82" i="1"/>
  <c r="P64" i="1" l="1"/>
  <c r="P62" i="1"/>
  <c r="C123" i="4" s="1"/>
  <c r="P21" i="1"/>
  <c r="P210" i="1" s="1"/>
  <c r="P51" i="1"/>
  <c r="C64" i="4" s="1"/>
  <c r="P206" i="1"/>
  <c r="C54" i="4" s="1"/>
  <c r="R170" i="1"/>
  <c r="S170" i="1"/>
  <c r="K74" i="1"/>
  <c r="K62" i="1"/>
  <c r="K247" i="1"/>
  <c r="K170" i="1"/>
  <c r="K162" i="1"/>
  <c r="P247" i="1"/>
  <c r="C309" i="4" s="1"/>
  <c r="P74" i="1"/>
  <c r="C77" i="4" s="1"/>
  <c r="P179" i="1"/>
  <c r="C168" i="4" s="1"/>
  <c r="P58" i="1"/>
  <c r="C72" i="4" s="1"/>
  <c r="P50" i="1"/>
  <c r="C63" i="4" s="1"/>
  <c r="P170" i="1"/>
  <c r="P163" i="1"/>
  <c r="C93" i="4" s="1"/>
  <c r="K179" i="1"/>
  <c r="C95" i="4"/>
  <c r="C94" i="4"/>
  <c r="K58" i="1"/>
  <c r="I58" i="1"/>
  <c r="K103" i="1"/>
  <c r="J103" i="1"/>
  <c r="C221" i="4"/>
  <c r="J90" i="1"/>
  <c r="K90" i="1"/>
  <c r="P47" i="1" l="1"/>
  <c r="C65" i="4" s="1"/>
  <c r="R28" i="1"/>
  <c r="P29" i="1" s="1"/>
  <c r="R220" i="1"/>
  <c r="P222" i="1" s="1"/>
  <c r="C126" i="4"/>
  <c r="P65" i="1"/>
  <c r="C125" i="4" s="1"/>
  <c r="P100" i="1"/>
  <c r="P86" i="1"/>
  <c r="R88" i="1"/>
  <c r="P88" i="1" s="1"/>
  <c r="C106" i="4"/>
  <c r="C113" i="4"/>
  <c r="K89" i="1"/>
  <c r="K88" i="1"/>
  <c r="K73" i="1"/>
  <c r="K72" i="1"/>
  <c r="P55" i="1"/>
  <c r="C70" i="4" s="1"/>
  <c r="R26" i="1"/>
  <c r="P209" i="1"/>
  <c r="C179" i="4" s="1"/>
  <c r="P56" i="1"/>
  <c r="P99" i="1"/>
  <c r="P73" i="1"/>
  <c r="C76" i="4" s="1"/>
  <c r="P72" i="1"/>
  <c r="C75" i="4" s="1"/>
  <c r="P87" i="1"/>
  <c r="R89" i="1"/>
  <c r="J144" i="1"/>
  <c r="D144" i="1" s="1"/>
  <c r="K144" i="1"/>
  <c r="P54" i="1"/>
  <c r="C69" i="4" s="1"/>
  <c r="K54" i="1"/>
  <c r="K55" i="1"/>
  <c r="J100" i="1"/>
  <c r="K99" i="1"/>
  <c r="J99" i="1"/>
  <c r="K100" i="1"/>
  <c r="K87" i="1"/>
  <c r="J86" i="1"/>
  <c r="K86" i="1"/>
  <c r="K128" i="1"/>
  <c r="J120" i="1"/>
  <c r="D119" i="1" s="1"/>
  <c r="P118" i="1" s="1"/>
  <c r="J128" i="1"/>
  <c r="D128" i="1" s="1"/>
  <c r="P129" i="1" s="1"/>
  <c r="K120" i="1"/>
  <c r="K127" i="1"/>
  <c r="J119" i="1"/>
  <c r="D118" i="1" s="1"/>
  <c r="P117" i="1" s="1"/>
  <c r="J87" i="1"/>
  <c r="J127" i="1"/>
  <c r="D127" i="1" s="1"/>
  <c r="P128" i="1" s="1"/>
  <c r="K119" i="1"/>
  <c r="P28" i="1" l="1"/>
  <c r="P27" i="1"/>
  <c r="P26" i="1" s="1"/>
  <c r="C68" i="4"/>
  <c r="I57" i="1"/>
  <c r="K57" i="1"/>
  <c r="P57" i="1"/>
  <c r="C71" i="4" s="1"/>
  <c r="P221" i="1"/>
  <c r="C313" i="4"/>
  <c r="R90" i="1"/>
  <c r="C228" i="4"/>
  <c r="C227" i="4"/>
  <c r="C237" i="4"/>
  <c r="C238" i="4"/>
  <c r="P144" i="1"/>
  <c r="C172" i="4" s="1"/>
  <c r="C203" i="4"/>
  <c r="C202" i="4"/>
  <c r="C217" i="4"/>
  <c r="G8" i="1"/>
  <c r="F13" i="1"/>
  <c r="C312" i="4" l="1"/>
  <c r="C184" i="4"/>
  <c r="C183" i="4"/>
  <c r="C204" i="4"/>
  <c r="C206" i="4"/>
  <c r="P89" i="1"/>
  <c r="C205" i="4" s="1"/>
  <c r="D218" i="1"/>
  <c r="P8" i="1" s="1"/>
  <c r="R80" i="1" l="1"/>
  <c r="P184" i="1"/>
  <c r="C142" i="4" s="1"/>
  <c r="P183" i="1"/>
  <c r="C141" i="4" s="1"/>
  <c r="P202" i="1"/>
  <c r="C134" i="4" s="1"/>
  <c r="P81" i="1" l="1"/>
  <c r="C315" i="4" s="1"/>
  <c r="C180" i="4"/>
  <c r="C219" i="4"/>
  <c r="C220" i="4"/>
  <c r="C218" i="4"/>
  <c r="P18" i="1"/>
  <c r="P6" i="1"/>
  <c r="D224" i="1"/>
  <c r="P33" i="1" s="1"/>
  <c r="P7" i="1" l="1"/>
  <c r="R7" i="1"/>
  <c r="P34" i="1"/>
  <c r="P35" i="1" s="1"/>
  <c r="C189" i="4" s="1"/>
  <c r="P42" i="1"/>
  <c r="P213" i="1"/>
  <c r="P69" i="1"/>
  <c r="C131" i="4" s="1"/>
  <c r="K69" i="1"/>
  <c r="K68" i="1"/>
  <c r="P68" i="1"/>
  <c r="C130" i="4" s="1"/>
  <c r="K203" i="1"/>
  <c r="P80" i="1"/>
  <c r="C314" i="4" s="1"/>
  <c r="C49" i="4"/>
  <c r="P205" i="1"/>
  <c r="P212" i="1"/>
  <c r="P204" i="1"/>
  <c r="C52" i="4" s="1"/>
  <c r="P203" i="1"/>
  <c r="C199" i="4"/>
  <c r="P269" i="1" l="1"/>
  <c r="C329" i="4" s="1"/>
  <c r="P94" i="1"/>
  <c r="C211" i="4" s="1"/>
  <c r="P169" i="1"/>
  <c r="R258" i="1"/>
  <c r="P257" i="1" s="1"/>
  <c r="R256" i="1"/>
  <c r="P255" i="1" s="1"/>
  <c r="R254" i="1"/>
  <c r="P253" i="1" s="1"/>
  <c r="P36" i="1"/>
  <c r="C195" i="4"/>
  <c r="R43" i="1"/>
  <c r="C86" i="4"/>
  <c r="C88" i="4" s="1"/>
  <c r="P154" i="1"/>
  <c r="C258" i="4" s="1"/>
  <c r="P95" i="1"/>
  <c r="C212" i="4" s="1"/>
  <c r="S169" i="1"/>
  <c r="R169" i="1"/>
  <c r="C51" i="4"/>
  <c r="K154" i="1"/>
  <c r="P155" i="1"/>
  <c r="C259" i="4" s="1"/>
  <c r="C57" i="4"/>
  <c r="P145" i="1"/>
  <c r="P147" i="1" s="1"/>
  <c r="C174" i="4" s="1"/>
  <c r="K169" i="1"/>
  <c r="K61" i="1"/>
  <c r="C50" i="4"/>
  <c r="C83" i="4"/>
  <c r="C84" i="4" s="1"/>
  <c r="P146" i="1"/>
  <c r="C175" i="4" s="1"/>
  <c r="P160" i="1"/>
  <c r="C92" i="4" s="1"/>
  <c r="K160" i="1"/>
  <c r="P12" i="1"/>
  <c r="P116" i="1" l="1"/>
  <c r="P114" i="1" s="1"/>
  <c r="P127" i="1"/>
  <c r="P125" i="1" s="1"/>
  <c r="R218" i="1"/>
  <c r="P258" i="1"/>
  <c r="P256" i="1"/>
  <c r="P254" i="1"/>
  <c r="P93" i="1"/>
  <c r="C210" i="4" s="1"/>
  <c r="C321" i="4"/>
  <c r="C323" i="4"/>
  <c r="P92" i="1"/>
  <c r="C209" i="4" s="1"/>
  <c r="R215" i="1"/>
  <c r="P218" i="1" s="1"/>
  <c r="P216" i="1" s="1"/>
  <c r="C87" i="4"/>
  <c r="C173" i="4"/>
  <c r="C105" i="4"/>
  <c r="C112" i="4"/>
  <c r="P165" i="1"/>
  <c r="C163" i="4"/>
  <c r="D136" i="1"/>
  <c r="P137" i="1" s="1"/>
  <c r="P138" i="1"/>
  <c r="C249" i="4" s="1"/>
  <c r="P153" i="1"/>
  <c r="P151" i="1" s="1"/>
  <c r="P136" i="1"/>
  <c r="P140" i="1" s="1"/>
  <c r="K146" i="1"/>
  <c r="K145" i="1"/>
  <c r="P61" i="1"/>
  <c r="C122" i="4" s="1"/>
  <c r="K178" i="1"/>
  <c r="P178" i="1"/>
  <c r="C167" i="4" s="1"/>
  <c r="K174" i="1"/>
  <c r="K137" i="1"/>
  <c r="K136" i="1"/>
  <c r="J136" i="1"/>
  <c r="P17" i="1"/>
  <c r="P126" i="1" l="1"/>
  <c r="P115" i="1"/>
  <c r="P135" i="1"/>
  <c r="C325" i="4"/>
  <c r="C326" i="4"/>
  <c r="C322" i="4"/>
  <c r="P217" i="1"/>
  <c r="P139" i="1"/>
  <c r="P152" i="1"/>
  <c r="P134" i="1"/>
  <c r="P220" i="1"/>
  <c r="P219" i="1" s="1"/>
  <c r="C8" i="4" s="1"/>
  <c r="P157" i="1"/>
  <c r="P156" i="1"/>
  <c r="P164" i="1"/>
  <c r="C96" i="4" s="1"/>
  <c r="P130" i="1"/>
  <c r="P131" i="1"/>
  <c r="P119" i="1"/>
  <c r="P120" i="1"/>
  <c r="C97" i="4"/>
  <c r="C224" i="4"/>
  <c r="C247" i="4"/>
  <c r="C257" i="4"/>
  <c r="C234" i="4"/>
  <c r="C248" i="4"/>
  <c r="C324" i="4" l="1"/>
  <c r="C9" i="4"/>
  <c r="C6" i="4"/>
  <c r="C7" i="4"/>
  <c r="R139" i="1"/>
  <c r="C250" i="4"/>
  <c r="C260" i="4"/>
  <c r="R156" i="1"/>
  <c r="R140" i="1"/>
  <c r="C251" i="4"/>
  <c r="R119" i="1"/>
  <c r="C240" i="4"/>
  <c r="R157" i="1"/>
  <c r="C261" i="4"/>
  <c r="C229" i="4"/>
  <c r="R131" i="1"/>
  <c r="R120" i="1"/>
  <c r="C239" i="4"/>
  <c r="C230" i="4"/>
  <c r="R130" i="1"/>
  <c r="C5" i="4"/>
  <c r="C236" i="4"/>
  <c r="C235" i="4"/>
  <c r="C226" i="4"/>
  <c r="C225" i="4"/>
  <c r="C246" i="4"/>
  <c r="C245" i="4"/>
  <c r="C256" i="4"/>
  <c r="C255" i="4"/>
  <c r="C11" i="4" l="1"/>
  <c r="C1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Zhan Jun Huang (DC PSS SI PS TM)</author>
    <author>Author</author>
    <author>Chendake Vedant Sadashiv (IFAP DC PSS SI DCDC INNO)</author>
  </authors>
  <commentList>
    <comment ref="D15" authorId="0" shapeId="0" xr:uid="{12C98F71-E539-4DD8-91FB-5CA02B77A534}">
      <text>
        <r>
          <rPr>
            <b/>
            <sz val="9"/>
            <color indexed="81"/>
            <rFont val="Tahoma"/>
            <charset val="1"/>
          </rPr>
          <t>Zhan Jun Huang (DC PSS SI PS TM):
E_Bike Function</t>
        </r>
        <r>
          <rPr>
            <sz val="9"/>
            <color indexed="81"/>
            <rFont val="Tahoma"/>
            <charset val="1"/>
          </rPr>
          <t xml:space="preserve">
If (MAX_ASSIST_TORQUE_LIMIT_EN_DIS=DISABLED)
USER_MOTOR_SPEED_HIGH_LIMIT_RPM_INPUT 
else 
E_BIKE_SPEED_LIMIT_RPM)</t>
        </r>
      </text>
    </comment>
    <comment ref="D16" authorId="1" shapeId="0" xr:uid="{9C27CD2C-6FE5-432E-AD0A-DAC89A76FBAD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Should not cross 60 degree/PWM. If crossing then please increase PWM Frequency</t>
        </r>
      </text>
    </comment>
    <comment ref="F17" authorId="0" shapeId="0" xr:uid="{EC42641A-BD58-4672-A8F2-24133B742A63}">
      <text>
        <r>
          <rPr>
            <b/>
            <sz val="9"/>
            <color indexed="81"/>
            <rFont val="Tahoma"/>
            <charset val="1"/>
          </rPr>
          <t>Zhan Jun Huang (DC PSS SI PS TM):
E_Bike Function</t>
        </r>
        <r>
          <rPr>
            <sz val="9"/>
            <color indexed="81"/>
            <rFont val="Tahoma"/>
            <charset val="1"/>
          </rPr>
          <t xml:space="preserve">
If (MAX_ASSIST_TORQUE_LIMIT_EN_DIS=DISABLED)
USER_MOTOR_SPEED_HIGH_LIMIT_RPM_INPUT 
else 
E_BIKE_SPEED_LIMIT_RPM)</t>
        </r>
      </text>
    </comment>
    <comment ref="K204" authorId="1" shapeId="0" xr:uid="{322B8F2F-A242-4AE6-AF2C-89DB003708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Need to limit based on the execution time for the minimal configuration</t>
        </r>
      </text>
    </comment>
    <comment ref="C226" authorId="1" shapeId="0" xr:uid="{B06B8348-752D-48D1-9D8E-BC7D7900F1E9}">
      <text>
        <r>
          <rPr>
            <b/>
            <sz val="9"/>
            <color indexed="81"/>
            <rFont val="Tahoma"/>
            <family val="2"/>
          </rPr>
          <t>Author:
ADC max input voltage</t>
        </r>
      </text>
    </comment>
    <comment ref="C243" authorId="2" shapeId="0" xr:uid="{ED87B581-F148-41E1-9604-48F41BB55407}">
      <text>
        <r>
          <rPr>
            <b/>
            <sz val="9"/>
            <color indexed="81"/>
            <rFont val="Tahoma"/>
            <family val="2"/>
          </rPr>
          <t>Chendake Vedant Sadashiv (IFAP DC PSS SI DCDC INNO):</t>
        </r>
        <r>
          <rPr>
            <sz val="9"/>
            <color indexed="81"/>
            <rFont val="Tahoma"/>
            <family val="2"/>
          </rPr>
          <t xml:space="preserve">
Please configure dead time using "USER_DEAD_TIME_US" in Inverter parameters</t>
        </r>
      </text>
    </comment>
    <comment ref="C244" authorId="2" shapeId="0" xr:uid="{FBBD16C8-516C-473E-B0E4-CD530965979C}">
      <text>
        <r>
          <rPr>
            <b/>
            <sz val="9"/>
            <color indexed="81"/>
            <rFont val="Tahoma"/>
            <family val="2"/>
          </rPr>
          <t>Chendake Vedant Sadashiv (IFAP DC PSS SI DCDC INNO):</t>
        </r>
        <r>
          <rPr>
            <sz val="9"/>
            <color indexed="81"/>
            <rFont val="Tahoma"/>
            <family val="2"/>
          </rPr>
          <t xml:space="preserve">
Please configure dead time using "USER_DEAD_TIME_USb" in Inverter parameters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<sst xmlns="http://schemas.openxmlformats.org/spreadsheetml/2006/main" count="2736" uniqueCount="1917">
  <si>
    <t>Motor Parameter</t>
  </si>
  <si>
    <r>
      <rPr>
        <i/>
        <sz val="11"/>
        <color indexed="8"/>
        <rFont val="Calibri"/>
        <family val="2"/>
      </rPr>
      <t>Ω</t>
    </r>
    <r>
      <rPr>
        <sz val="11"/>
        <color theme="1"/>
        <rFont val="Calibri"/>
        <family val="2"/>
        <scheme val="minor"/>
      </rPr>
      <t xml:space="preserve"> (ohm)</t>
    </r>
  </si>
  <si>
    <r>
      <rPr>
        <i/>
        <sz val="11"/>
        <color indexed="8"/>
        <rFont val="Calibri"/>
        <family val="2"/>
      </rPr>
      <t>µ</t>
    </r>
    <r>
      <rPr>
        <sz val="11"/>
        <color theme="1"/>
        <rFont val="Calibri"/>
        <family val="2"/>
        <scheme val="minor"/>
      </rPr>
      <t xml:space="preserve">H  </t>
    </r>
    <r>
      <rPr>
        <sz val="11"/>
        <color indexed="9"/>
        <rFont val="Calibri"/>
        <family val="2"/>
      </rPr>
      <t xml:space="preserve">  </t>
    </r>
    <r>
      <rPr>
        <sz val="8"/>
        <color indexed="9"/>
        <rFont val="Calibri"/>
        <family val="2"/>
      </rPr>
      <t>(Note 1)</t>
    </r>
  </si>
  <si>
    <t>dec</t>
  </si>
  <si>
    <t>Min.</t>
  </si>
  <si>
    <t>Max.</t>
  </si>
  <si>
    <t>Input Range</t>
  </si>
  <si>
    <t>RPM</t>
  </si>
  <si>
    <t>Inverter Parameter</t>
  </si>
  <si>
    <t>Hz</t>
  </si>
  <si>
    <t>V</t>
  </si>
  <si>
    <t>Motor Phase Current Measurement</t>
  </si>
  <si>
    <t>VDD / Maximum voltage at ADC</t>
  </si>
  <si>
    <t>mΩ</t>
  </si>
  <si>
    <t>MCU Parameter</t>
  </si>
  <si>
    <t>MHz</t>
  </si>
  <si>
    <t>CCU8 Prescaler</t>
  </si>
  <si>
    <t>ADC Range</t>
  </si>
  <si>
    <t>VAREF</t>
  </si>
  <si>
    <t>A</t>
  </si>
  <si>
    <t>I_MAX (OpAmp with bias = VAREF/2)</t>
  </si>
  <si>
    <r>
      <t>Normalization (</t>
    </r>
    <r>
      <rPr>
        <b/>
        <sz val="10"/>
        <rFont val="Symbol"/>
        <family val="1"/>
        <charset val="2"/>
      </rPr>
      <t>a</t>
    </r>
    <r>
      <rPr>
        <b/>
        <sz val="10"/>
        <rFont val="Arial"/>
        <family val="2"/>
      </rPr>
      <t>,</t>
    </r>
    <r>
      <rPr>
        <b/>
        <sz val="10"/>
        <rFont val="Symbol"/>
        <family val="1"/>
        <charset val="2"/>
      </rPr>
      <t>b</t>
    </r>
    <r>
      <rPr>
        <b/>
        <sz val="10"/>
        <rFont val="Arial"/>
        <family val="2"/>
      </rPr>
      <t>), represented by +2</t>
    </r>
    <r>
      <rPr>
        <b/>
        <vertAlign val="superscript"/>
        <sz val="10"/>
        <rFont val="Arial"/>
        <family val="2"/>
      </rPr>
      <t>15</t>
    </r>
  </si>
  <si>
    <r>
      <t>N_I_(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,</t>
    </r>
    <r>
      <rPr>
        <sz val="10"/>
        <rFont val="Symbol"/>
        <family val="1"/>
        <charset val="2"/>
      </rPr>
      <t>b</t>
    </r>
    <r>
      <rPr>
        <sz val="10"/>
        <rFont val="Arial"/>
        <family val="2"/>
      </rPr>
      <t>)</t>
    </r>
  </si>
  <si>
    <r>
      <t>N_V_(</t>
    </r>
    <r>
      <rPr>
        <sz val="10"/>
        <rFont val="Symbol"/>
        <family val="1"/>
        <charset val="2"/>
      </rPr>
      <t>a</t>
    </r>
    <r>
      <rPr>
        <sz val="10"/>
        <rFont val="Arial"/>
        <family val="2"/>
      </rPr>
      <t>,</t>
    </r>
    <r>
      <rPr>
        <sz val="10"/>
        <rFont val="Symbol"/>
        <family val="1"/>
        <charset val="2"/>
      </rPr>
      <t>b</t>
    </r>
    <r>
      <rPr>
        <sz val="10"/>
        <rFont val="Arial"/>
        <family val="2"/>
      </rPr>
      <t>)</t>
    </r>
  </si>
  <si>
    <t>Scaling</t>
  </si>
  <si>
    <r>
      <t>Normalization (d,q), represented by +2</t>
    </r>
    <r>
      <rPr>
        <b/>
        <vertAlign val="superscript"/>
        <sz val="10"/>
        <rFont val="Arial"/>
        <family val="2"/>
      </rPr>
      <t>15</t>
    </r>
  </si>
  <si>
    <t>N_I_(d,q)</t>
  </si>
  <si>
    <t>N_V_(d,q)</t>
  </si>
  <si>
    <t>Speed Range</t>
  </si>
  <si>
    <t>USER INPUT</t>
  </si>
  <si>
    <t>STALL Detection</t>
  </si>
  <si>
    <t>mSec</t>
  </si>
  <si>
    <t>Angle Increment/PWM cycle</t>
  </si>
  <si>
    <r>
      <rPr>
        <sz val="11"/>
        <rFont val="Calibri"/>
        <family val="2"/>
      </rPr>
      <t>°/PWM</t>
    </r>
  </si>
  <si>
    <t>DC Link Voltage Measurement</t>
  </si>
  <si>
    <t>DC LINK Voltage Divider  - R1</t>
  </si>
  <si>
    <r>
      <rPr>
        <i/>
        <sz val="11"/>
        <color indexed="8"/>
        <rFont val="Calibri"/>
        <family val="2"/>
      </rPr>
      <t>KΩ</t>
    </r>
    <r>
      <rPr>
        <sz val="11"/>
        <color theme="1"/>
        <rFont val="Calibri"/>
        <family val="2"/>
        <scheme val="minor"/>
      </rPr>
      <t xml:space="preserve"> (ohm)</t>
    </r>
  </si>
  <si>
    <t>DC LINK Voltage Divider  - R2</t>
  </si>
  <si>
    <t>VDC_MAX</t>
  </si>
  <si>
    <t>Flux PI Controller</t>
  </si>
  <si>
    <t>Torque PI Controller</t>
  </si>
  <si>
    <t>Ld/Lq</t>
  </si>
  <si>
    <t>max:13</t>
  </si>
  <si>
    <t>Control Loop Timing</t>
  </si>
  <si>
    <t>uSec</t>
  </si>
  <si>
    <t>STALL_CURRENT</t>
  </si>
  <si>
    <t>STALL_THRESHOLD_TIME</t>
  </si>
  <si>
    <t>STALL_COEFFICIENT_SCALEUP</t>
  </si>
  <si>
    <t>Over Current Protection(OCP)</t>
  </si>
  <si>
    <t>USER_OCP_LEVEL_TIME_ms</t>
  </si>
  <si>
    <t>USER_MAP_CURRENT_TO_DCLINK</t>
  </si>
  <si>
    <t>USER_OCP_LEVEL_RMS_A</t>
  </si>
  <si>
    <t>Torque Limit</t>
  </si>
  <si>
    <t>USER_LIMIT_MAX_IQ_A</t>
  </si>
  <si>
    <t>Under/Over Voltage Protection</t>
  </si>
  <si>
    <t>USER_VDC_OVER_VOLTAGE_LIMIT_V</t>
  </si>
  <si>
    <t>USER_VDC_UNDER_VOLTAGE_LIMIT_V</t>
  </si>
  <si>
    <t>USER_VDC_LPF</t>
  </si>
  <si>
    <t>Vq Voltage Controller</t>
  </si>
  <si>
    <t>USER_VQ_REF_HIGH_LIMIT_V</t>
  </si>
  <si>
    <t>USER_VQ_REF_LOW_LIMIT_V</t>
  </si>
  <si>
    <t>VQ_RAMP_UP_STEP</t>
  </si>
  <si>
    <t>VQ_RAMP_DOWN_STEP</t>
  </si>
  <si>
    <t>USER_VQ_RAMP_UP_STEP_V</t>
  </si>
  <si>
    <t>USER_VQ_RAMP_DOWN_STEP_V</t>
  </si>
  <si>
    <t>VQ_RAMP_STEP_TIME_FCL_COUNT</t>
  </si>
  <si>
    <t>VQ_REF_HIGH_LIMIT</t>
  </si>
  <si>
    <t>VQ_REF_LOW_LIMIT</t>
  </si>
  <si>
    <t>Speed Controller</t>
  </si>
  <si>
    <t>USER_SPEED_REF_HIGH_LIMIT_RPM</t>
  </si>
  <si>
    <t>USER_SPEED_REF_LOW_LIMIT_RPM</t>
  </si>
  <si>
    <t>SPEED_REF_HIGH_LIMIT</t>
  </si>
  <si>
    <t>SPEED_REF_LOW_LIMIT</t>
  </si>
  <si>
    <t>SPEED_RAMP_UP_STEP</t>
  </si>
  <si>
    <t>SPEED_RAMP_DOWN_STEP</t>
  </si>
  <si>
    <t>SPEED_RAMP_STEP_TIME_FCL_COUNT</t>
  </si>
  <si>
    <t>USER_MOTOR_R_PER_PHASE_OHM</t>
  </si>
  <si>
    <t>USER_MOTOR_LQ_PER_PHASE_uH</t>
  </si>
  <si>
    <t>USER_MOTOR_LD_PER_PHASE_uH</t>
  </si>
  <si>
    <t>USER_MOTOR_POLE_PAIR</t>
  </si>
  <si>
    <t>USER_MOTOR_SPEED_LOW_LIMIT_RPM</t>
  </si>
  <si>
    <t>USER_MOTOR_SPEED_HIGH_LIMIT_RPM</t>
  </si>
  <si>
    <t>USER_VF_OFFSET_V</t>
  </si>
  <si>
    <t>USER_VF_V_PER_HZ</t>
  </si>
  <si>
    <t>USER_VF_TRANSITION_SPEED_RPM</t>
  </si>
  <si>
    <t>USER_VF_SPEED_RAMPUP_RATE_RPM_PER_S</t>
  </si>
  <si>
    <t>V/F Motor Startup Control Parameters</t>
  </si>
  <si>
    <t>V/Hz</t>
  </si>
  <si>
    <t>RPM/Sec</t>
  </si>
  <si>
    <t>STARTUP_VF_OFFSET</t>
  </si>
  <si>
    <t>STARTUP_VF_V_PER_HZ_CONST</t>
  </si>
  <si>
    <t>STARTUP_VF_TRANSITION_SPEED</t>
  </si>
  <si>
    <t>STARTUP_VF_SPEED_RAMP_UP_RATE</t>
  </si>
  <si>
    <t>SCALING</t>
  </si>
  <si>
    <t>USER_STARTUP_VF_STABILIZATION_TIME_mS</t>
  </si>
  <si>
    <t>STARTUP_VF_STABILIZATION_COUNT</t>
  </si>
  <si>
    <t>max:2^29</t>
  </si>
  <si>
    <t>min:-2^29</t>
  </si>
  <si>
    <t>USER_PI_FLUX_KP</t>
  </si>
  <si>
    <t>USER_PI_FLUX_KI</t>
  </si>
  <si>
    <t>USER_PI_FLUX_UK_LIMIT_MIN</t>
  </si>
  <si>
    <t>USER_PI_FLUX_UK_LIMIT_MAX</t>
  </si>
  <si>
    <t>USER_PI_TORQUE_KP</t>
  </si>
  <si>
    <t>USER_PI_TORQUE_KI</t>
  </si>
  <si>
    <t>USER_PI_TORQUE_UK_LIMIT_MIN</t>
  </si>
  <si>
    <t>USER_PI_TORQUE_UK_LIMIT_MAX</t>
  </si>
  <si>
    <t>Speed PI Controller</t>
  </si>
  <si>
    <t>USER_PI_SPEED_KP</t>
  </si>
  <si>
    <t>USER_PI_SPEED_KI</t>
  </si>
  <si>
    <t>USER_PI_SPEED_UK_LIMIT_MAX</t>
  </si>
  <si>
    <t>USER_PI_SPEED_UK_LIMIT_MIN</t>
  </si>
  <si>
    <t>Flux Weakening PI Controller</t>
  </si>
  <si>
    <t>USER_PI_FW_KP</t>
  </si>
  <si>
    <t>USER_PI_FW_KI</t>
  </si>
  <si>
    <t>USER_PI_FW_UK_LIMIT_MAX</t>
  </si>
  <si>
    <t>USER_PI_FW_UK_LIMIT_MIN</t>
  </si>
  <si>
    <t>Flux Weakening</t>
  </si>
  <si>
    <t>VAREF_V</t>
  </si>
  <si>
    <t>#define</t>
  </si>
  <si>
    <t>TEMP_SENSOR_OFFSET</t>
  </si>
  <si>
    <t>Inverter Board Over Temperature Protection</t>
  </si>
  <si>
    <t>USER_TEMP_SENSOR_0C_OUTPUT_mV</t>
  </si>
  <si>
    <t>USER_TEMP_SENSOR_COEFFICIENT_mV_C</t>
  </si>
  <si>
    <t>mV</t>
  </si>
  <si>
    <t>mV/°C</t>
  </si>
  <si>
    <t>°C</t>
  </si>
  <si>
    <t>TEMP_SENSOR_COEFFICIENT_Q15</t>
  </si>
  <si>
    <t>USER_MAX_BOARD_TEMP_START_C</t>
  </si>
  <si>
    <t>USER_ABS_MAX_BOARD_TEMP_C</t>
  </si>
  <si>
    <t>/********* Temperature Sensor Configuration ************/</t>
  </si>
  <si>
    <t>/********* MCU Parameter Configuration ************/</t>
  </si>
  <si>
    <t>CCU8_PERIOD_REG</t>
  </si>
  <si>
    <t>CCU8_DEADTIME_RISE</t>
  </si>
  <si>
    <t>CCU8_DEADTIME_FALL</t>
  </si>
  <si>
    <t>USER_PCLK_FREQ_MHz</t>
  </si>
  <si>
    <t>USER_CCU8_PWM_FREQ_HZ</t>
  </si>
  <si>
    <t>USER_DEAD_TIME_US</t>
  </si>
  <si>
    <t>/********* DRIVER IC Delay Configuration ************/</t>
  </si>
  <si>
    <t>GDRIVER_IC_DELAY</t>
  </si>
  <si>
    <t>/********* Slow Control loop(Systick Configuration) ************/</t>
  </si>
  <si>
    <t>PMSM_FOC_SYSTICK_COUNT</t>
  </si>
  <si>
    <t>USER_SLOW_CTRL_LOOP_PERIOD_US</t>
  </si>
  <si>
    <t>USER_FAST_CTRL_LOOP_PERIOD_US</t>
  </si>
  <si>
    <t>USER_MCLK_FREQ_MHz</t>
  </si>
  <si>
    <t>BOOTSTRAP_BRAKE_TIME</t>
  </si>
  <si>
    <t>/********* V/F Startup Configuration ************/</t>
  </si>
  <si>
    <t>/********* Direct FOC Startup Configuration ************/</t>
  </si>
  <si>
    <t>VQ_INITIAL_VALUE</t>
  </si>
  <si>
    <t>Direct FOC Startup</t>
  </si>
  <si>
    <t>USER_VQ_INITIAL_VALUE_V</t>
  </si>
  <si>
    <t>USER_FIRST_KICK_VALUE_V</t>
  </si>
  <si>
    <t>USER_FIRST_KICK_TIME_mS</t>
  </si>
  <si>
    <t>TRANSITION_FIRST_KICK_VALUE</t>
  </si>
  <si>
    <t>TRANSITION_FIRST_KICK_COUNT</t>
  </si>
  <si>
    <t>/********* Motor STALL Detection Configuration ************/</t>
  </si>
  <si>
    <t>STALL_COEFFICIENT_SCALE</t>
  </si>
  <si>
    <t>USER_STALL_COEFFICIENT</t>
  </si>
  <si>
    <t>USER_STALL_CURRENT_A</t>
  </si>
  <si>
    <t>USER_STALL_THRESHOLD_TIME_ms</t>
  </si>
  <si>
    <t>/********* Over Current Protection(OCP) Configuration ************/</t>
  </si>
  <si>
    <t>OCP_LEVEL</t>
  </si>
  <si>
    <t>OCP_LEVEL_TIME</t>
  </si>
  <si>
    <t>/********* Rotor Pre Alignment Configuration ************/</t>
  </si>
  <si>
    <t>ROTOR_PRE_ALIGNMENT_CURRENT_REF</t>
  </si>
  <si>
    <t>ROTOR_PRE_ALIGNMENT_COUNT</t>
  </si>
  <si>
    <t>Rotor Pre Alignment</t>
  </si>
  <si>
    <t>USER_ROTOR_PRE_ALIGNMENT_CURRENT_A</t>
  </si>
  <si>
    <t>USER_ROTOR_PRE_ALIGNMENT_TIME_MS</t>
  </si>
  <si>
    <t>Initial Position Detection(IPD)</t>
  </si>
  <si>
    <t>USER_ROTOR_IPD_IND_SENSE_PATTERN_ONTIME_mS</t>
  </si>
  <si>
    <t>USER_ROTOR_IPD_IND_SENSE_CURRENT_DECAY_TIME_mS</t>
  </si>
  <si>
    <t>IPD_SENSE_PRESCALAR_VAL</t>
  </si>
  <si>
    <t>IPD_SENSE_CCU8_PULSE_WIDTH_COUNT</t>
  </si>
  <si>
    <t>IPD_SENSE_CCU8_CURRENT_DECAY_COUNT</t>
  </si>
  <si>
    <t>/********* Initial Position Detection(IPD) Configuration ************/</t>
  </si>
  <si>
    <t>/********* DC Link Voltage ************/</t>
  </si>
  <si>
    <t>VADC_DCLINK_T</t>
  </si>
  <si>
    <t>USER_VDC_LINK_V</t>
  </si>
  <si>
    <t>USER_DC_LINK_DIVIDER_RATIO</t>
  </si>
  <si>
    <t>Max. Current Limit</t>
  </si>
  <si>
    <t>USER_LIMIT_MAX_IS_A</t>
  </si>
  <si>
    <t>LIMIT_MAX_IQ</t>
  </si>
  <si>
    <t>LIMIT_MAX_IS</t>
  </si>
  <si>
    <t>IQ_LIMIT_BLANKING_TIME</t>
  </si>
  <si>
    <t>USER_IQ_LIMIT_BLANKING_TIME_mS</t>
  </si>
  <si>
    <t>/********* Under/Over Voltage Protection ************/</t>
  </si>
  <si>
    <t>VDC_OVER_VOLTAGE_LIMIT</t>
  </si>
  <si>
    <t>VDC_UNDER_VOLTAGE_LIMIT</t>
  </si>
  <si>
    <t>ENABLED</t>
  </si>
  <si>
    <t>DISABLED</t>
  </si>
  <si>
    <t>/*********Max. current limit ************/</t>
  </si>
  <si>
    <t>/*********Max. Torque limit ************/</t>
  </si>
  <si>
    <t>USER_LIMIT_FW_MAX_NEG_ID_REF_A</t>
  </si>
  <si>
    <t>USER_FW_DISABLE_IQ_LIMIT_A</t>
  </si>
  <si>
    <t>USER_FW_LPF</t>
  </si>
  <si>
    <t>FW_ID_REF_RATIO_Q15</t>
  </si>
  <si>
    <t>FW_DISABLE_IQ_LIMIT</t>
  </si>
  <si>
    <t>/*********Flux Weakening ************/</t>
  </si>
  <si>
    <t>FW_MAX_VREF</t>
  </si>
  <si>
    <t>FW_ID_REF_NEG_MAX</t>
  </si>
  <si>
    <t>USER_FW_MAX_VREF_V</t>
  </si>
  <si>
    <t>/*********Electric Speed ************/</t>
  </si>
  <si>
    <t>ELECTRICAL_SPEED_LOW_LIMIT_TS</t>
  </si>
  <si>
    <t>ELECTRICAL_SPEED_HIGH_LIMIT_TS</t>
  </si>
  <si>
    <t>/*********Phase Current sampling time ************/</t>
  </si>
  <si>
    <t>VADC_PH_CURRENT_SAMPLE_TIME</t>
  </si>
  <si>
    <t>/*********Vq Voltage Control Scheme ************/</t>
  </si>
  <si>
    <t>/*********Speed Control Scheme ************/</t>
  </si>
  <si>
    <t>SPEED_REF_HIGH_LIMIT_TS</t>
  </si>
  <si>
    <t>SPEED_REF_LOW_LIMIT_TS</t>
  </si>
  <si>
    <t>/*********Torque Current PI Controller Parameters ************/</t>
  </si>
  <si>
    <t>PI_TORQUE_UK_LIMIT_MIN</t>
  </si>
  <si>
    <t>PI_TORQUE_UK_LIMIT_MAX</t>
  </si>
  <si>
    <t>PI_TORQUE_IK_LIMIT_MIN</t>
  </si>
  <si>
    <t>PI_TORQUE_IK_LIMIT_MAX</t>
  </si>
  <si>
    <t>PI_TORQUE_SCALE_KPKI</t>
  </si>
  <si>
    <t>PI_TORQUE_KP</t>
  </si>
  <si>
    <t>PI_TORQUE_KI</t>
  </si>
  <si>
    <t>PI_FLUX_SCALE_KPKI</t>
  </si>
  <si>
    <t>PI_FLUX_KP</t>
  </si>
  <si>
    <t>PI_FLUX_KI</t>
  </si>
  <si>
    <t>PI_FLUX_UK_LIMIT_MIN</t>
  </si>
  <si>
    <t>PI_FLUX_UK_LIMIT_MAX</t>
  </si>
  <si>
    <t>PI_FLUX_IK_LIMIT_MIN</t>
  </si>
  <si>
    <t>PI_FLUX_IK_LIMIT_MAX</t>
  </si>
  <si>
    <t>PI_SPEED_KP</t>
  </si>
  <si>
    <t>PI_SPEED_KI</t>
  </si>
  <si>
    <t>PI_SPEED_SCALE_KPKI</t>
  </si>
  <si>
    <t>PI_SPEED_UK_LIMIT_MAX</t>
  </si>
  <si>
    <t>PI_SPEED_UK_LIMIT_MIN</t>
  </si>
  <si>
    <t>PI_SPEED_IK_LIMIT_MAX</t>
  </si>
  <si>
    <t>PI_SPEED_IK_LIMIT_MIN</t>
  </si>
  <si>
    <t>PI_FW_KP</t>
  </si>
  <si>
    <t>PI_FW_KI</t>
  </si>
  <si>
    <t>PI_FW_SCALE_KPKI</t>
  </si>
  <si>
    <t>PI_FW_UK_LIMIT_MAX</t>
  </si>
  <si>
    <t>PI_FW_UK_LIMIT_MIN</t>
  </si>
  <si>
    <t>PI_FW_IK_LIMIT_MAX</t>
  </si>
  <si>
    <t>PI_FW_IK_LIMIT_MIN</t>
  </si>
  <si>
    <t>/*********Flux Current PI Controller Parameters ************/</t>
  </si>
  <si>
    <t>/*********Speed PI Controller Parameters ************/</t>
  </si>
  <si>
    <t>/*********Flux weakening current PI Controller Parameters ************/</t>
  </si>
  <si>
    <t>/*********IPD Multi channel pattern update ************/</t>
  </si>
  <si>
    <t>WH_VL_UOFF</t>
  </si>
  <si>
    <t>WOFF_VL_UH</t>
  </si>
  <si>
    <t>WL_VOFF_UH</t>
  </si>
  <si>
    <t>WL_VH_UOFF</t>
  </si>
  <si>
    <t>WOFF_VH_UL</t>
  </si>
  <si>
    <t>WH_VOFF_UL</t>
  </si>
  <si>
    <t>WL_VL_UH</t>
  </si>
  <si>
    <t>WH_VH_UL</t>
  </si>
  <si>
    <t>WL_VH_UH</t>
  </si>
  <si>
    <t>WH_VL_UL</t>
  </si>
  <si>
    <t>WL_VH_UL</t>
  </si>
  <si>
    <t>WH_VL_UH</t>
  </si>
  <si>
    <t>WL_VL_UL</t>
  </si>
  <si>
    <t>ALL_ON</t>
  </si>
  <si>
    <t>ALL_OFF</t>
  </si>
  <si>
    <t>PMSM_FOC_CCU8_SYNC_START</t>
  </si>
  <si>
    <t>PMSM_FOC_CCU4_SYNC_START</t>
  </si>
  <si>
    <t>PMSM_FOC_CCU8_CCU4_SYNC_START</t>
  </si>
  <si>
    <t>USER_R_SHUNT_OHM</t>
  </si>
  <si>
    <t>BOTH_OFF</t>
  </si>
  <si>
    <t>HIGH_ON</t>
  </si>
  <si>
    <t>LOW_ON</t>
  </si>
  <si>
    <t>BOTH_ON</t>
  </si>
  <si>
    <t>CCU8_MODULE</t>
  </si>
  <si>
    <t>CCU8_MODULE_NUM</t>
  </si>
  <si>
    <t>CCU8_SLICE_PHASE_U</t>
  </si>
  <si>
    <t>CCU8_SLICE_PHASE_U_NUM</t>
  </si>
  <si>
    <t>CCU8_SLICE_PHASE_V</t>
  </si>
  <si>
    <t>CCU8_SLICE_PHASE_V_NUM</t>
  </si>
  <si>
    <t>CCU8_SLICE_PHASE_W</t>
  </si>
  <si>
    <t>CCU8_SLICE_PHASE_W_NUM</t>
  </si>
  <si>
    <t>CCU8_SLICE_ADC_TR</t>
  </si>
  <si>
    <t>CCU80</t>
  </si>
  <si>
    <t>CCU80_CC81</t>
  </si>
  <si>
    <t>CCU80_CC82</t>
  </si>
  <si>
    <t>CCU80_CC80</t>
  </si>
  <si>
    <t>CCU80_CC83</t>
  </si>
  <si>
    <t>/*********CCU synchronous start ************/</t>
  </si>
  <si>
    <t>/********* Motor Parameter Configuration ************/</t>
  </si>
  <si>
    <t>MOTOR_LQ_SCALEDUP</t>
  </si>
  <si>
    <t>MOTOR_LD_SCALEDUP</t>
  </si>
  <si>
    <t>MOTOR_SCALE_OF_L</t>
  </si>
  <si>
    <t>MOTOR_R_SCALEDUP</t>
  </si>
  <si>
    <t>MOTOR_SCALE_OF_R</t>
  </si>
  <si>
    <t>/********* SVPWM Configuration ************/</t>
  </si>
  <si>
    <t>SVM_LUT_SCALE</t>
  </si>
  <si>
    <t>USER_MAX_CURRENT_LIMIT_ENABLE</t>
  </si>
  <si>
    <t>USER_TORQUE_LIMIT_ENABLE</t>
  </si>
  <si>
    <t>MOTOR_LS_X_PWMFREQ_SCALEUP</t>
  </si>
  <si>
    <t>MOTOR_SCALE_OF_LS_X_PWMFREQ</t>
  </si>
  <si>
    <t>Space Vector Modulation</t>
  </si>
  <si>
    <t>IMD700A</t>
  </si>
  <si>
    <t>IMD700A_DVDD_3_3_V</t>
  </si>
  <si>
    <t>IMD700A_DVDD_5_0_V</t>
  </si>
  <si>
    <t>/* 6EDL7141 device voltage levels */</t>
  </si>
  <si>
    <t>STANDARD_SVM_7_SEGMENT</t>
  </si>
  <si>
    <t>STANDARD_SVM_5_SEGMENT</t>
  </si>
  <si>
    <t>SVPWM_MAX_OVERMOD_RANGE</t>
  </si>
  <si>
    <t>SVPWM_MAX_LINEAR_RANGE</t>
  </si>
  <si>
    <t>/* SVPWM */</t>
  </si>
  <si>
    <t>/* Current Sensing Feedback Scheme */</t>
  </si>
  <si>
    <t>THREE_SHUNT_ASYNC_CONV</t>
  </si>
  <si>
    <t>THREE_SHUNT_SYNC_CONV</t>
  </si>
  <si>
    <t>/* Control Scheme */</t>
  </si>
  <si>
    <t>VQ_VOLTAGE_CTRL</t>
  </si>
  <si>
    <t>SPEED_INNER_CURRENT_CTRL</t>
  </si>
  <si>
    <t>VF_OPEN_LOOP_CTRL</t>
  </si>
  <si>
    <t>/* Motor startup configuration */</t>
  </si>
  <si>
    <t>ROTOR_IPD_NONE</t>
  </si>
  <si>
    <t>ROTOR_IPD_PRE_ALIGNMENT</t>
  </si>
  <si>
    <t>ROTOR_IPD_INDUCTIVE_SENSING</t>
  </si>
  <si>
    <t>MOTOR_STARTUP_DIRECT_FOC</t>
  </si>
  <si>
    <t>MOTOR_STARTUP_VF_OPEN_LOOP</t>
  </si>
  <si>
    <t>/* Motor stop configuration */</t>
  </si>
  <si>
    <t>MOTOR_STOP_COASTING</t>
  </si>
  <si>
    <t>MOTOR_STOP_LOW_SIDE_BRAKE</t>
  </si>
  <si>
    <t>PMSM_FOC_MOTOR_STATUS_STABLE</t>
  </si>
  <si>
    <t>PMSM_FOC_MOTOR_STATUS_TRANSITION</t>
  </si>
  <si>
    <t>/* Motor status configuration */</t>
  </si>
  <si>
    <t>/* OCP */</t>
  </si>
  <si>
    <t>MOTOR_PHASE_CURRENT_SENSE</t>
  </si>
  <si>
    <t>DC_LINK_CURRENT_SENSE</t>
  </si>
  <si>
    <t>/* Reference Speed Adjustment Method */</t>
  </si>
  <si>
    <t>MICRIUM_UC_ONLY</t>
  </si>
  <si>
    <t>BY_POT_ONLY</t>
  </si>
  <si>
    <t>/* IPD angle in q31 format */</t>
  </si>
  <si>
    <t>PMSM_FOC_ANGLE_000_DEGREE_Q31</t>
  </si>
  <si>
    <t>PMSM_FOC_ANGLE_030_DEGREE_Q31</t>
  </si>
  <si>
    <t>PMSM_FOC_ANGLE_060_DEGREE_Q31</t>
  </si>
  <si>
    <t>PMSM_FOC_ANGLE_090_DEGREE_Q31</t>
  </si>
  <si>
    <t>PMSM_FOC_ANGLE_120_DEGREE_Q31</t>
  </si>
  <si>
    <t>PMSM_FOC_ANGLE_150_DEGREE_Q31</t>
  </si>
  <si>
    <t>PMSM_FOC_ANGLE_180_DEGREE_Q31</t>
  </si>
  <si>
    <t>PMSM_FOC_ANGLE_210_DEGREE_Q31</t>
  </si>
  <si>
    <t>PMSM_FOC_ANGLE_240_DEGREE_Q31</t>
  </si>
  <si>
    <t>PMSM_FOC_ANGLE_270_DEGREE_Q31</t>
  </si>
  <si>
    <t>PMSM_FOC_ANGLE_300_DEGREE_Q31</t>
  </si>
  <si>
    <t>PMSM_FOC_ANGLE_330_DEGREE_Q31</t>
  </si>
  <si>
    <t>PMSM_FOC_ANGLE_INVALID</t>
  </si>
  <si>
    <t>CORDIC_CIRCULAR_VECTORING_MODE</t>
  </si>
  <si>
    <t>CORDIC_CIRCULAR_ROTATION_MODE</t>
  </si>
  <si>
    <t>CORDIC_HYPERBOLIC_VECTORING_MODE</t>
  </si>
  <si>
    <t>CORDIC_CIRCULAR_MPS_BY_K_SCALED</t>
  </si>
  <si>
    <t>CORDIC_HYPERBOLIC_MPS_BY_K_SCALED</t>
  </si>
  <si>
    <t>CORDIC_MPS_BY_K_SCALE</t>
  </si>
  <si>
    <t>/* CORDIC */</t>
  </si>
  <si>
    <t>DIRECTION_INC</t>
  </si>
  <si>
    <t>DIRECTION_DEC</t>
  </si>
  <si>
    <t>IS_GPIO_HIGH</t>
  </si>
  <si>
    <t>IS_GPIO_LOW</t>
  </si>
  <si>
    <t>/* Motor direction input */</t>
  </si>
  <si>
    <t>/* GPIO input check */</t>
  </si>
  <si>
    <t>BSC007N04N04LS6_2X</t>
  </si>
  <si>
    <t>BSC030N08NS5_2X</t>
  </si>
  <si>
    <t>BSC007N04N04LS6_1X</t>
  </si>
  <si>
    <t>/* MOSFET on inverter board */</t>
  </si>
  <si>
    <t>Critical Code execution From</t>
  </si>
  <si>
    <t>PMSM_FOC_RAM_ATTRIBUTE</t>
  </si>
  <si>
    <t>__RAM_FUNC</t>
  </si>
  <si>
    <t>/*********Critical code execution from RAM/FLASH ************/</t>
  </si>
  <si>
    <t>INVERTER_EN_PIN</t>
  </si>
  <si>
    <t>nBRAKE_PIN</t>
  </si>
  <si>
    <t>DRIVER_CS_AZ_PIN</t>
  </si>
  <si>
    <t>nFAULT_PIN</t>
  </si>
  <si>
    <t>P0_7</t>
  </si>
  <si>
    <t>P1_3</t>
  </si>
  <si>
    <t>P1_2</t>
  </si>
  <si>
    <t>P3_4</t>
  </si>
  <si>
    <t>MOTOR_DIR_INPUT_PIN</t>
  </si>
  <si>
    <t>P4_10</t>
  </si>
  <si>
    <t>FAULT_LED3</t>
  </si>
  <si>
    <t>FW_ACTIVE_LED4</t>
  </si>
  <si>
    <t>P4_7</t>
  </si>
  <si>
    <t>P4_6</t>
  </si>
  <si>
    <t>TEST_PIN</t>
  </si>
  <si>
    <t>P4_1</t>
  </si>
  <si>
    <t>/* GPIO Pin mapping */</t>
  </si>
  <si>
    <t>/* CCU8 PWM Generation Pin mapping */</t>
  </si>
  <si>
    <t>PHASE_U_HS_PIN</t>
  </si>
  <si>
    <t>PHASE_U_HS_ALT_SELECT</t>
  </si>
  <si>
    <t>XMC_GPIO_MODE_OUTPUT_PUSH_PULL_ALT5</t>
  </si>
  <si>
    <t>P3_3</t>
  </si>
  <si>
    <t>PHASE_V_HS_PIN</t>
  </si>
  <si>
    <t>PHASE_V_HS_ALT_SELECT</t>
  </si>
  <si>
    <t>PHASE_V_LS_PIN</t>
  </si>
  <si>
    <t>PHASE_V_LS_ALT_SELECT</t>
  </si>
  <si>
    <t>PHASE_U_LS_PIN</t>
  </si>
  <si>
    <t>PHASE_U_LS_ALT_SELECT</t>
  </si>
  <si>
    <t>PHASE_W_HS_PIN</t>
  </si>
  <si>
    <t>PHASE_W_HS_ALT_SELECT</t>
  </si>
  <si>
    <t>PHASE_W_LS_PIN</t>
  </si>
  <si>
    <t>PHASE_W_LS_ALT_SELECT</t>
  </si>
  <si>
    <t>P3_2</t>
  </si>
  <si>
    <t>P3_1</t>
  </si>
  <si>
    <t>P3_0</t>
  </si>
  <si>
    <t>P1_0</t>
  </si>
  <si>
    <t>P1_1</t>
  </si>
  <si>
    <t>USER_CURRENT_SENSING</t>
  </si>
  <si>
    <t>/********* Phase Current sensing Configuration ************/</t>
  </si>
  <si>
    <t>/********* FOC Control loop topology selection ************/</t>
  </si>
  <si>
    <t>USER_FOC_CTRL_SCHEME</t>
  </si>
  <si>
    <t>/********* Motor Direction control ************/</t>
  </si>
  <si>
    <t>USER_MOTOR_BI_DIRECTION_CTRL</t>
  </si>
  <si>
    <t>/********* Motor Startup configuration ************/</t>
  </si>
  <si>
    <t>USER_ROTOR_IPD_METHOD</t>
  </si>
  <si>
    <t>USER_MOTOR_STARTUP_METHOD</t>
  </si>
  <si>
    <t>USER_MOTOR_STOP_METHOD</t>
  </si>
  <si>
    <t>/********* Micrium/MicroInspector Enable/Disable ************/</t>
  </si>
  <si>
    <t>USER_UCPROBE_GUI</t>
  </si>
  <si>
    <t>USER_UCPROBE_OSCILLOSCOPE</t>
  </si>
  <si>
    <t>MicroInspector GUI Configuration</t>
  </si>
  <si>
    <t>Voltage/Speed Reference Setting</t>
  </si>
  <si>
    <t>USER_REF_SETTING</t>
  </si>
  <si>
    <t>USER_TH_POT_ADC_START</t>
  </si>
  <si>
    <t>USER_TH_POT_ADC_STOP</t>
  </si>
  <si>
    <t>USER_POT_ADC_LPF</t>
  </si>
  <si>
    <t>/********* Voltage/speed reference setting ************/</t>
  </si>
  <si>
    <t>USER_SVM_SWITCHING_SCHEME</t>
  </si>
  <si>
    <t>USER_SVM_SINE_LUT_SIZE</t>
  </si>
  <si>
    <t>USER_SVM_OVERMODULATION</t>
  </si>
  <si>
    <t>STANDARD_SVM_5_SEGMENT/
STANDARD_SVM_7_SEGMENT</t>
  </si>
  <si>
    <t>256/1024</t>
  </si>
  <si>
    <t>ENABLED/DISABLED</t>
  </si>
  <si>
    <t>SVPWM_MAX_VREF</t>
  </si>
  <si>
    <t>SCALE_UP_SINE_LUT</t>
  </si>
  <si>
    <t>DC Bus Voltage compensation</t>
  </si>
  <si>
    <t>USER_VDC_VOLT_COMPENSATION</t>
  </si>
  <si>
    <t>USER_ADC_CALIBRATION</t>
  </si>
  <si>
    <t>USER_MOTOR_PH_OFFSET_CALIBRATION</t>
  </si>
  <si>
    <t>/********* DC Link Compensation ************/</t>
  </si>
  <si>
    <t>/********* Calibration - ADC, Phase offset ************/</t>
  </si>
  <si>
    <t>Id/Iq Decoupling</t>
  </si>
  <si>
    <t>USER_DQ_DECOUPLING</t>
  </si>
  <si>
    <t>/********* id/iq decoupling ************/</t>
  </si>
  <si>
    <t>USER_VDC_UV_OV_PROTECTION_ENABLE</t>
  </si>
  <si>
    <t>Voltage clamping during deceleration</t>
  </si>
  <si>
    <t>USER_DECELERATION_VDC_CLAMPING_ENABLE</t>
  </si>
  <si>
    <t>USER_OVERCURRENT_PROTECTION_ENABLE</t>
  </si>
  <si>
    <t>MOTOR_STALL_DETECTION_ENABLE</t>
  </si>
  <si>
    <t>USER_MOTOR_STALL_DETECTION_ENABLE</t>
  </si>
  <si>
    <t>USER_WATCH_DOG_TIMER</t>
  </si>
  <si>
    <t>WATCHDOG Timer Configuration</t>
  </si>
  <si>
    <t>/********* Watchdog Configuration ************/</t>
  </si>
  <si>
    <t>/*********GUI Parameter display ************/</t>
  </si>
  <si>
    <t>CONVERT_SPEED_TO_RPM</t>
  </si>
  <si>
    <t>SPEED_TO_RPM_SCALE</t>
  </si>
  <si>
    <t>/* CCU8 Passive LEVEL definition */</t>
  </si>
  <si>
    <t>CCU8_PASSIVE_LOW</t>
  </si>
  <si>
    <t>CCU8_PASSIVE_HIGH</t>
  </si>
  <si>
    <t>SHIFT_BIAS_LPF</t>
  </si>
  <si>
    <t>Driver Shutdown Delay</t>
  </si>
  <si>
    <t>/*********Gate driver idle shutdown configuration************/</t>
  </si>
  <si>
    <t>SPI_LINK</t>
  </si>
  <si>
    <t>CORDIC_SHIFT</t>
  </si>
  <si>
    <t>/********* Inverter board over temperature proetction Configuration ************/</t>
  </si>
  <si>
    <t>THREE_SHUNT_SYNC_CONV/
THREE_SHUNT_ASYNC_CONV</t>
  </si>
  <si>
    <t>Control Topology Selection</t>
  </si>
  <si>
    <t>Motor Direction Control</t>
  </si>
  <si>
    <t>ROTOR_IPD_PRE_ALIGNMENT/
ROTOR_IPD_INDUCTIVE_SENSING/
ROTOR_IPD_NONE</t>
  </si>
  <si>
    <t>Motor Startup Configuration</t>
  </si>
  <si>
    <t>MOTOR_STARTUP_DIRECT_FOC/
MOTOR_STARTUP_VF_OPEN_LOOP</t>
  </si>
  <si>
    <t>MOTOR_STOP_LOW_SIDE_BRAKE/
MOTOR_STOP_COASTING</t>
  </si>
  <si>
    <t>USER_BOARD_OVERTEMP_PROTECTION_ENABLE</t>
  </si>
  <si>
    <t>USER_FW_ENABLE</t>
  </si>
  <si>
    <t>/********* Motor Stop configuration ************/</t>
  </si>
  <si>
    <t>MICRIUM_UC_ONLY /
 BY_POT_ONLY</t>
  </si>
  <si>
    <t>/* UART USIC Channel Configuration */</t>
  </si>
  <si>
    <t>USIC_DISABLED_ALL</t>
  </si>
  <si>
    <t>USIC0_CH0_P1_4_P1_5</t>
  </si>
  <si>
    <t>USIC0_CH1_P1_2_P1_3</t>
  </si>
  <si>
    <t>/* Device defination */</t>
  </si>
  <si>
    <t>DEVICE</t>
  </si>
  <si>
    <t>/* Example code version*/</t>
  </si>
  <si>
    <t>EXAMPLECODE_FIRMWARE_VERSION</t>
  </si>
  <si>
    <t>(0x00000100)</t>
  </si>
  <si>
    <t>/*!&lt; MSB to LSB description MSB:Nil, Major=0x00, Minor=0x01 , Patch=0x00 */</t>
  </si>
  <si>
    <t>/**
 * @}
 */
/**
 * @}
 */
#endif /* PMSM_FOC_CONFIG_H_ */</t>
  </si>
  <si>
    <r>
      <t>Normalization max electric speed/PWM cycle, represented by +2</t>
    </r>
    <r>
      <rPr>
        <b/>
        <vertAlign val="superscript"/>
        <sz val="10"/>
        <rFont val="Arial"/>
        <family val="2"/>
      </rPr>
      <t>15</t>
    </r>
  </si>
  <si>
    <t>electric speed(rad)/FCL time</t>
  </si>
  <si>
    <t>rad</t>
  </si>
  <si>
    <r>
      <t>Normalization max/min electric rotor angle, represented by +2</t>
    </r>
    <r>
      <rPr>
        <b/>
        <vertAlign val="superscript"/>
        <sz val="10"/>
        <rFont val="Arial"/>
        <family val="2"/>
      </rPr>
      <t>31</t>
    </r>
    <r>
      <rPr>
        <b/>
        <sz val="10"/>
        <rFont val="Arial"/>
        <family val="2"/>
      </rPr>
      <t>/-2</t>
    </r>
    <r>
      <rPr>
        <b/>
        <vertAlign val="superscript"/>
        <sz val="9"/>
        <rFont val="Arial"/>
        <family val="2"/>
      </rPr>
      <t>31</t>
    </r>
  </si>
  <si>
    <t>N_eRotorAngle_rad</t>
  </si>
  <si>
    <t>N_eSpeed_rad_FCL</t>
  </si>
  <si>
    <t>/********* Voltage clamping during deceleration ************/</t>
  </si>
  <si>
    <t>USER_SPEED_RAMP_UP_STEP_RPM_PER_SEC</t>
  </si>
  <si>
    <t>USER_SPEED_RAMP_DOWN_STEP_RPM_PER_SEC</t>
  </si>
  <si>
    <t>SPEED_TO_ANGLE_CONV_FACTOR</t>
  </si>
  <si>
    <t>SPEED_TO_ANGLE_CONV_FACTOR_SCALE</t>
  </si>
  <si>
    <t>/*********Rotor angle to speed conversion ************/</t>
  </si>
  <si>
    <t>USER_PI_FLUX_BW_HZ</t>
  </si>
  <si>
    <t>USER_PI_FLUX_DAMP_RATIO</t>
  </si>
  <si>
    <t>USER_PI_TORQUE_BW_HZ</t>
  </si>
  <si>
    <t>USER_PI_TORQUE_DAMP_RATIO</t>
  </si>
  <si>
    <t>Default Calculated</t>
  </si>
  <si>
    <t>USER_PI_FLUX_ENABLE_ANTIWINDUP</t>
  </si>
  <si>
    <t>USER_PI_TORQUE_ENABLE_ANTIWINDUP</t>
  </si>
  <si>
    <t>USER_PI_SPEED_ENABLE_ANTIWINDUP</t>
  </si>
  <si>
    <t>USER_PI_FW_ENABLE_ANTIWINDUP</t>
  </si>
  <si>
    <t>PI_TORQUE_ENABLE_ANTIWINDUP</t>
  </si>
  <si>
    <t>PI_FLUX_ENABLE_ANTIWINDUP</t>
  </si>
  <si>
    <t>PI_SPEED_ENABLE_ANTIWINDUP</t>
  </si>
  <si>
    <t>PI_FW_ENABLE_ANTIWINDUP</t>
  </si>
  <si>
    <t>COASTING_PRECHARGE_TIME</t>
  </si>
  <si>
    <t>/********* Brake/Coasting/Bootstrap/Precharge Configuration ************/</t>
  </si>
  <si>
    <t>USER_MOTOR_FLUX_LINKAGE_CONSTANT</t>
  </si>
  <si>
    <t>Vph_pk/(electrical rad/s)</t>
  </si>
  <si>
    <t>MOTOR_FLUX_LINKAGE_CONSTANT</t>
  </si>
  <si>
    <t>MOTOR_SCALE_OF_FLUX_LINKAGE_CONSTANT</t>
  </si>
  <si>
    <t>__RAM_FUNC/None</t>
  </si>
  <si>
    <t>6EDL7141 OPAMP Gain</t>
  </si>
  <si>
    <t>USER_BOOTSTRAP_BRAKE_TIME_MS</t>
  </si>
  <si>
    <t>Motor Stop Configuration</t>
  </si>
  <si>
    <t>7V/10V/12V/15V</t>
  </si>
  <si>
    <t>USER_GD_I_PRE_EN</t>
  </si>
  <si>
    <t>USER_GD_PVCC_SETPT</t>
  </si>
  <si>
    <t>IDRIVE_10mA</t>
  </si>
  <si>
    <t>IDRIVE_PRE_10mA</t>
  </si>
  <si>
    <t>TDRIVE1_0ns</t>
  </si>
  <si>
    <t>TDRIVE2_0ns</t>
  </si>
  <si>
    <t>TDRIVE3_0ns</t>
  </si>
  <si>
    <t>TDRIVE4_0ns</t>
  </si>
  <si>
    <t>DT_120ns</t>
  </si>
  <si>
    <t>IDRIVE_20mA</t>
  </si>
  <si>
    <t>IDRIVE_PRE_20mA</t>
  </si>
  <si>
    <t>TDRIVE1_50ns</t>
  </si>
  <si>
    <t>TDRIVE2_10ns</t>
  </si>
  <si>
    <t>TDRIVE3_50ns</t>
  </si>
  <si>
    <t>TDRIVE4_10ns</t>
  </si>
  <si>
    <t>DT_200ns</t>
  </si>
  <si>
    <t>IDRIVE_30mA</t>
  </si>
  <si>
    <t>IDRIVE_PRE_30mA</t>
  </si>
  <si>
    <t>TDRIVE1_60ns</t>
  </si>
  <si>
    <t>TDRIVE2_20ns</t>
  </si>
  <si>
    <t>TDRIVE3_60ns</t>
  </si>
  <si>
    <t>TDRIVE4_20ns</t>
  </si>
  <si>
    <t>DT_280ns</t>
  </si>
  <si>
    <t>IDRIVE_40mA</t>
  </si>
  <si>
    <t>IDRIVE_PRE_40mA</t>
  </si>
  <si>
    <t>TDRIVE1_70ns</t>
  </si>
  <si>
    <t>TDRIVE2_30ns</t>
  </si>
  <si>
    <t>TDRIVE3_70ns</t>
  </si>
  <si>
    <t>TDRIVE4_30ns</t>
  </si>
  <si>
    <t>DT_360ns</t>
  </si>
  <si>
    <t>IDRIVE_50mA</t>
  </si>
  <si>
    <t>IDRIVE_PRE_50mA</t>
  </si>
  <si>
    <t>TDRIVE1_80ns</t>
  </si>
  <si>
    <t>TDRIVE2_40ns</t>
  </si>
  <si>
    <t>TDRIVE3_80ns</t>
  </si>
  <si>
    <t>TDRIVE4_40ns</t>
  </si>
  <si>
    <t>DT_440ns</t>
  </si>
  <si>
    <t>IDRIVE_60mA</t>
  </si>
  <si>
    <t>IDRIVE_PRE_60mA</t>
  </si>
  <si>
    <t>TDRIVE1_90ns</t>
  </si>
  <si>
    <t>TDRIVE2_50ns</t>
  </si>
  <si>
    <t>TDRIVE3_90ns</t>
  </si>
  <si>
    <t>TDRIVE4_50ns</t>
  </si>
  <si>
    <t>DT_520ns</t>
  </si>
  <si>
    <t>IDRIVE_80mA</t>
  </si>
  <si>
    <t>IDRIVE_PRE_80mA</t>
  </si>
  <si>
    <t>TDRIVE1_100ns</t>
  </si>
  <si>
    <t>TDRIVE2_60ns</t>
  </si>
  <si>
    <t>TDRIVE3_100ns</t>
  </si>
  <si>
    <t>TDRIVE4_60ns</t>
  </si>
  <si>
    <t>DT_600ns</t>
  </si>
  <si>
    <t>IDRIVE_100mA</t>
  </si>
  <si>
    <t>IDRIVE_PRE_100mA</t>
  </si>
  <si>
    <t>TDRIVE1_110ns</t>
  </si>
  <si>
    <t>TDRIVE2_70ns</t>
  </si>
  <si>
    <t>TDRIVE3_110ns</t>
  </si>
  <si>
    <t>TDRIVE4_70ns</t>
  </si>
  <si>
    <t>DT_680ns</t>
  </si>
  <si>
    <t>IDRIVE_125mA</t>
  </si>
  <si>
    <t>IDRIVE_PRE_125mA</t>
  </si>
  <si>
    <t>TDRIVE1_120ns</t>
  </si>
  <si>
    <t>TDRIVE2_80ns</t>
  </si>
  <si>
    <t>TDRIVE3_120ns</t>
  </si>
  <si>
    <t>TDRIVE4_80ns</t>
  </si>
  <si>
    <t>DT_760ns</t>
  </si>
  <si>
    <t>IDRIVE_150mA</t>
  </si>
  <si>
    <t>IDRIVE_PRE_150mA</t>
  </si>
  <si>
    <t>TDRIVE1_130ns</t>
  </si>
  <si>
    <t>TDRIVE2_90ns</t>
  </si>
  <si>
    <t>TDRIVE3_130ns</t>
  </si>
  <si>
    <t>TDRIVE4_90ns</t>
  </si>
  <si>
    <t>DT_840ns</t>
  </si>
  <si>
    <t>IDRIVE_175mA</t>
  </si>
  <si>
    <t>IDRIVE_PRE_175mA</t>
  </si>
  <si>
    <t>TDRIVE1_140ns</t>
  </si>
  <si>
    <t>TDRIVE2_100ns</t>
  </si>
  <si>
    <t>TDRIVE3_140ns</t>
  </si>
  <si>
    <t>TDRIVE4_100ns</t>
  </si>
  <si>
    <t>DT_920ns</t>
  </si>
  <si>
    <t>IDRIVE_200mA</t>
  </si>
  <si>
    <t>IDRIVE_PRE_200mA</t>
  </si>
  <si>
    <t>TDRIVE1_150ns</t>
  </si>
  <si>
    <t>TDRIVE2_110ns</t>
  </si>
  <si>
    <t>TDRIVE3_150ns</t>
  </si>
  <si>
    <t>TDRIVE4_110ns</t>
  </si>
  <si>
    <t>DT_1000ns</t>
  </si>
  <si>
    <t>IDRIVE_250mA</t>
  </si>
  <si>
    <t>IDRIVE_PRE_250mA</t>
  </si>
  <si>
    <t>TDRIVE1_160ns</t>
  </si>
  <si>
    <t>TDRIVE2_120ns</t>
  </si>
  <si>
    <t>TDRIVE3_160ns</t>
  </si>
  <si>
    <t>TDRIVE4_120ns</t>
  </si>
  <si>
    <t>DT_1080ns</t>
  </si>
  <si>
    <t>IDRIVE_300mA</t>
  </si>
  <si>
    <t>IDRIVE_PRE_300mA</t>
  </si>
  <si>
    <t>TDRIVE1_170ns</t>
  </si>
  <si>
    <t>TDRIVE2_130ns</t>
  </si>
  <si>
    <t>TDRIVE3_170ns</t>
  </si>
  <si>
    <t>TDRIVE4_130ns</t>
  </si>
  <si>
    <t>DT_1160ns</t>
  </si>
  <si>
    <t>IDRIVE_400mA</t>
  </si>
  <si>
    <t>IDRIVE_PRE_400mA</t>
  </si>
  <si>
    <t>TDRIVE1_180ns</t>
  </si>
  <si>
    <t>TDRIVE2_140ns</t>
  </si>
  <si>
    <t>TDRIVE3_180ns</t>
  </si>
  <si>
    <t>TDRIVE4_140ns</t>
  </si>
  <si>
    <t>DT_1240ns</t>
  </si>
  <si>
    <t>IDRIVE_500mA</t>
  </si>
  <si>
    <t>IDRIVE_PRE_500mA</t>
  </si>
  <si>
    <t>TDRIVE1_190ns</t>
  </si>
  <si>
    <t>TDRIVE2_150ns</t>
  </si>
  <si>
    <t>TDRIVE3_190ns</t>
  </si>
  <si>
    <t>TDRIVE4_150ns</t>
  </si>
  <si>
    <t>DT_1320ns</t>
  </si>
  <si>
    <t>TDRIVE1_200ns</t>
  </si>
  <si>
    <t>TDRIVE2_160ns</t>
  </si>
  <si>
    <t>TDRIVE3_200ns</t>
  </si>
  <si>
    <t>TDRIVE4_160ns</t>
  </si>
  <si>
    <t>DT_1400ns</t>
  </si>
  <si>
    <t>TDRIVE1_210ns</t>
  </si>
  <si>
    <t>TDRIVE2_170ns</t>
  </si>
  <si>
    <t>TDRIVE3_210ns</t>
  </si>
  <si>
    <t>TDRIVE4_170ns</t>
  </si>
  <si>
    <t>DT_1480ns</t>
  </si>
  <si>
    <t>TDRIVE1_220ns</t>
  </si>
  <si>
    <t>TDRIVE2_180ns</t>
  </si>
  <si>
    <t>TDRIVE3_220ns</t>
  </si>
  <si>
    <t>TDRIVE4_180ns</t>
  </si>
  <si>
    <t>DT_1560ns</t>
  </si>
  <si>
    <t>TDRIVE1_230ns</t>
  </si>
  <si>
    <t>TDRIVE2_190ns</t>
  </si>
  <si>
    <t>TDRIVE3_230ns</t>
  </si>
  <si>
    <t>TDRIVE4_190ns</t>
  </si>
  <si>
    <t>DT_1640ns</t>
  </si>
  <si>
    <t>TDRIVE1_240ns</t>
  </si>
  <si>
    <t>TDRIVE2_200ns</t>
  </si>
  <si>
    <t>TDRIVE3_240ns</t>
  </si>
  <si>
    <t>TDRIVE4_200ns</t>
  </si>
  <si>
    <t>DT_1720ns</t>
  </si>
  <si>
    <t>TDRIVE1_250ns</t>
  </si>
  <si>
    <t>TDRIVE2_210ns</t>
  </si>
  <si>
    <t>TDRIVE3_250ns</t>
  </si>
  <si>
    <t>TDRIVE4_210ns</t>
  </si>
  <si>
    <t>DT_1800ns</t>
  </si>
  <si>
    <t>TDRIVE1_260ns</t>
  </si>
  <si>
    <t>TDRIVE2_220ns</t>
  </si>
  <si>
    <t>TDRIVE3_260ns</t>
  </si>
  <si>
    <t>TDRIVE4_220ns</t>
  </si>
  <si>
    <t>DT_1880ns</t>
  </si>
  <si>
    <t>TDRIVE1_270ns</t>
  </si>
  <si>
    <t>TDRIVE2_230ns</t>
  </si>
  <si>
    <t>TDRIVE3_270ns</t>
  </si>
  <si>
    <t>TDRIVE4_230ns</t>
  </si>
  <si>
    <t>DT_1960ns</t>
  </si>
  <si>
    <t>TDRIVE1_280ns</t>
  </si>
  <si>
    <t>TDRIVE2_240ns</t>
  </si>
  <si>
    <t>TDRIVE3_280ns</t>
  </si>
  <si>
    <t>TDRIVE4_240ns</t>
  </si>
  <si>
    <t>DT_2040ns</t>
  </si>
  <si>
    <t>TDRIVE1_290ns</t>
  </si>
  <si>
    <t>TDRIVE2_250ns</t>
  </si>
  <si>
    <t>TDRIVE3_290ns</t>
  </si>
  <si>
    <t>TDRIVE4_250ns</t>
  </si>
  <si>
    <t>DT_2120ns</t>
  </si>
  <si>
    <t>TDRIVE1_300ns</t>
  </si>
  <si>
    <t>TDRIVE2_260ns</t>
  </si>
  <si>
    <t>TDRIVE3_300ns</t>
  </si>
  <si>
    <t>TDRIVE4_260ns</t>
  </si>
  <si>
    <t>DT_2200ns</t>
  </si>
  <si>
    <t>TDRIVE1_310ns</t>
  </si>
  <si>
    <t>TDRIVE2_270ns</t>
  </si>
  <si>
    <t>TDRIVE3_310ns</t>
  </si>
  <si>
    <t>TDRIVE4_270ns</t>
  </si>
  <si>
    <t>DT_2280ns</t>
  </si>
  <si>
    <t>TDRIVE1_320ns</t>
  </si>
  <si>
    <t>TDRIVE2_280ns</t>
  </si>
  <si>
    <t>TDRIVE3_320ns</t>
  </si>
  <si>
    <t>TDRIVE4_280ns</t>
  </si>
  <si>
    <t>DT_2360ns</t>
  </si>
  <si>
    <t>TDRIVE1_330ns</t>
  </si>
  <si>
    <t>TDRIVE2_290ns</t>
  </si>
  <si>
    <t>TDRIVE3_330ns</t>
  </si>
  <si>
    <t>TDRIVE4_290ns</t>
  </si>
  <si>
    <t>DT_2440ns</t>
  </si>
  <si>
    <t>TDRIVE1_340ns</t>
  </si>
  <si>
    <t>TDRIVE2_300ns</t>
  </si>
  <si>
    <t>TDRIVE3_340ns</t>
  </si>
  <si>
    <t>TDRIVE4_300ns</t>
  </si>
  <si>
    <t>DT_2520ns</t>
  </si>
  <si>
    <t>TDRIVE1_350ns</t>
  </si>
  <si>
    <t>TDRIVE2_310ns</t>
  </si>
  <si>
    <t>TDRIVE3_350ns</t>
  </si>
  <si>
    <t>TDRIVE4_310ns</t>
  </si>
  <si>
    <t>DT_2600ns</t>
  </si>
  <si>
    <t>TDRIVE1_360ns</t>
  </si>
  <si>
    <t>TDRIVE2_320ns</t>
  </si>
  <si>
    <t>TDRIVE3_360ns</t>
  </si>
  <si>
    <t>TDRIVE4_320ns</t>
  </si>
  <si>
    <t>DT_2680ns</t>
  </si>
  <si>
    <t>TDRIVE1_370ns</t>
  </si>
  <si>
    <t>TDRIVE2_330ns</t>
  </si>
  <si>
    <t>TDRIVE3_370ns</t>
  </si>
  <si>
    <t>TDRIVE4_330ns</t>
  </si>
  <si>
    <t>DT_2760ns</t>
  </si>
  <si>
    <t>TDRIVE1_380ns</t>
  </si>
  <si>
    <t>TDRIVE2_340ns</t>
  </si>
  <si>
    <t>TDRIVE3_380ns</t>
  </si>
  <si>
    <t>TDRIVE4_340ns</t>
  </si>
  <si>
    <t>DT_2840ns</t>
  </si>
  <si>
    <t>TDRIVE1_390ns</t>
  </si>
  <si>
    <t>TDRIVE2_350ns</t>
  </si>
  <si>
    <t>TDRIVE3_390ns</t>
  </si>
  <si>
    <t>TDRIVE4_350ns</t>
  </si>
  <si>
    <t>DT_2920ns</t>
  </si>
  <si>
    <t>TDRIVE1_400ns</t>
  </si>
  <si>
    <t>TDRIVE2_360ns</t>
  </si>
  <si>
    <t>TDRIVE3_400ns</t>
  </si>
  <si>
    <t>TDRIVE4_360ns</t>
  </si>
  <si>
    <t>DT_3000ns</t>
  </si>
  <si>
    <t>TDRIVE1_410ns</t>
  </si>
  <si>
    <t>TDRIVE2_370ns</t>
  </si>
  <si>
    <t>TDRIVE3_410ns</t>
  </si>
  <si>
    <t>TDRIVE4_370ns</t>
  </si>
  <si>
    <t>DT_3080ns</t>
  </si>
  <si>
    <t>TDRIVE1_420ns</t>
  </si>
  <si>
    <t>TDRIVE2_380ns</t>
  </si>
  <si>
    <t>TDRIVE3_420ns</t>
  </si>
  <si>
    <t>TDRIVE4_380ns</t>
  </si>
  <si>
    <t>DT_3160ns</t>
  </si>
  <si>
    <t>TDRIVE1_430ns</t>
  </si>
  <si>
    <t>TDRIVE2_390ns</t>
  </si>
  <si>
    <t>TDRIVE3_430ns</t>
  </si>
  <si>
    <t>TDRIVE4_390ns</t>
  </si>
  <si>
    <t>DT_3240ns</t>
  </si>
  <si>
    <t>TDRIVE1_440ns</t>
  </si>
  <si>
    <t>TDRIVE2_400ns</t>
  </si>
  <si>
    <t>TDRIVE3_440ns</t>
  </si>
  <si>
    <t>TDRIVE4_400ns</t>
  </si>
  <si>
    <t>DT_3320ns</t>
  </si>
  <si>
    <t>TDRIVE1_450ns</t>
  </si>
  <si>
    <t>TDRIVE2_410ns</t>
  </si>
  <si>
    <t>TDRIVE3_450ns</t>
  </si>
  <si>
    <t>TDRIVE4_410ns</t>
  </si>
  <si>
    <t>DT_3400ns</t>
  </si>
  <si>
    <t>TDRIVE1_460ns</t>
  </si>
  <si>
    <t>TDRIVE2_420ns</t>
  </si>
  <si>
    <t>TDRIVE3_460ns</t>
  </si>
  <si>
    <t>TDRIVE4_420ns</t>
  </si>
  <si>
    <t>DT_3480ns</t>
  </si>
  <si>
    <t>TDRIVE1_470ns</t>
  </si>
  <si>
    <t>TDRIVE2_430ns</t>
  </si>
  <si>
    <t>TDRIVE3_470ns</t>
  </si>
  <si>
    <t>TDRIVE4_430ns</t>
  </si>
  <si>
    <t>DT_3560ns</t>
  </si>
  <si>
    <t>TDRIVE1_480ns</t>
  </si>
  <si>
    <t>TDRIVE2_440ns</t>
  </si>
  <si>
    <t>TDRIVE3_480ns</t>
  </si>
  <si>
    <t>TDRIVE4_440ns</t>
  </si>
  <si>
    <t>DT_3640ns</t>
  </si>
  <si>
    <t>TDRIVE1_490ns</t>
  </si>
  <si>
    <t>TDRIVE2_450ns</t>
  </si>
  <si>
    <t>TDRIVE3_490ns</t>
  </si>
  <si>
    <t>TDRIVE4_450ns</t>
  </si>
  <si>
    <t>DT_3720ns</t>
  </si>
  <si>
    <t>TDRIVE1_500ns</t>
  </si>
  <si>
    <t>TDRIVE2_460ns</t>
  </si>
  <si>
    <t>TDRIVE3_500ns</t>
  </si>
  <si>
    <t>TDRIVE4_460ns</t>
  </si>
  <si>
    <t>DT_3800ns</t>
  </si>
  <si>
    <t>TDRIVE1_510ns</t>
  </si>
  <si>
    <t>TDRIVE2_470ns</t>
  </si>
  <si>
    <t>TDRIVE3_510ns</t>
  </si>
  <si>
    <t>TDRIVE4_470ns</t>
  </si>
  <si>
    <t>DT_3880ns</t>
  </si>
  <si>
    <t>TDRIVE1_520ns</t>
  </si>
  <si>
    <t>TDRIVE2_480ns</t>
  </si>
  <si>
    <t>TDRIVE3_520ns</t>
  </si>
  <si>
    <t>TDRIVE4_480ns</t>
  </si>
  <si>
    <t>DT_3960ns</t>
  </si>
  <si>
    <t>TDRIVE1_530ns</t>
  </si>
  <si>
    <t>TDRIVE2_490ns</t>
  </si>
  <si>
    <t>TDRIVE3_530ns</t>
  </si>
  <si>
    <t>TDRIVE4_490ns</t>
  </si>
  <si>
    <t>DT_4040ns</t>
  </si>
  <si>
    <t>TDRIVE1_540ns</t>
  </si>
  <si>
    <t>TDRIVE2_500ns</t>
  </si>
  <si>
    <t>TDRIVE3_540ns</t>
  </si>
  <si>
    <t>TDRIVE4_500ns</t>
  </si>
  <si>
    <t>DT_4120ns</t>
  </si>
  <si>
    <t>TDRIVE1_550ns</t>
  </si>
  <si>
    <t>TDRIVE2_510ns</t>
  </si>
  <si>
    <t>TDRIVE3_550ns</t>
  </si>
  <si>
    <t>TDRIVE4_510ns</t>
  </si>
  <si>
    <t>DT_4200ns</t>
  </si>
  <si>
    <t>TDRIVE1_560ns</t>
  </si>
  <si>
    <t>TDRIVE2_520ns</t>
  </si>
  <si>
    <t>TDRIVE3_560ns</t>
  </si>
  <si>
    <t>TDRIVE4_520ns</t>
  </si>
  <si>
    <t>DT_4280ns</t>
  </si>
  <si>
    <t>TDRIVE1_570ns</t>
  </si>
  <si>
    <t>TDRIVE2_530ns</t>
  </si>
  <si>
    <t>TDRIVE3_570ns</t>
  </si>
  <si>
    <t>TDRIVE4_530ns</t>
  </si>
  <si>
    <t>DT_4360ns</t>
  </si>
  <si>
    <t>TDRIVE1_580ns</t>
  </si>
  <si>
    <t>TDRIVE2_540ns</t>
  </si>
  <si>
    <t>TDRIVE3_580ns</t>
  </si>
  <si>
    <t>TDRIVE4_540ns</t>
  </si>
  <si>
    <t>DT_4440ns</t>
  </si>
  <si>
    <t>TDRIVE1_590ns</t>
  </si>
  <si>
    <t>TDRIVE2_550ns</t>
  </si>
  <si>
    <t>TDRIVE3_590ns</t>
  </si>
  <si>
    <t>TDRIVE4_550ns</t>
  </si>
  <si>
    <t>DT_4520ns</t>
  </si>
  <si>
    <t>TDRIVE1_600ns</t>
  </si>
  <si>
    <t>TDRIVE2_560ns</t>
  </si>
  <si>
    <t>TDRIVE3_600ns</t>
  </si>
  <si>
    <t>TDRIVE4_560ns</t>
  </si>
  <si>
    <t>DT_4600ns</t>
  </si>
  <si>
    <t>TDRIVE1_610ns</t>
  </si>
  <si>
    <t>TDRIVE2_570ns</t>
  </si>
  <si>
    <t>TDRIVE3_610ns</t>
  </si>
  <si>
    <t>TDRIVE4_570ns</t>
  </si>
  <si>
    <t>DT_4680ns</t>
  </si>
  <si>
    <t>TDRIVE1_620ns</t>
  </si>
  <si>
    <t>TDRIVE2_580ns</t>
  </si>
  <si>
    <t>TDRIVE3_620ns</t>
  </si>
  <si>
    <t>TDRIVE4_580ns</t>
  </si>
  <si>
    <t>DT_4760ns</t>
  </si>
  <si>
    <t>TDRIVE1_630ns</t>
  </si>
  <si>
    <t>TDRIVE2_590ns</t>
  </si>
  <si>
    <t>TDRIVE3_630ns</t>
  </si>
  <si>
    <t>TDRIVE4_590ns</t>
  </si>
  <si>
    <t>DT_4840ns</t>
  </si>
  <si>
    <t>TDRIVE1_640ns</t>
  </si>
  <si>
    <t>TDRIVE2_600ns</t>
  </si>
  <si>
    <t>TDRIVE3_640ns</t>
  </si>
  <si>
    <t>TDRIVE4_600ns</t>
  </si>
  <si>
    <t>DT_4920ns</t>
  </si>
  <si>
    <t>TDRIVE1_650ns</t>
  </si>
  <si>
    <t>TDRIVE2_610ns</t>
  </si>
  <si>
    <t>TDRIVE3_650ns</t>
  </si>
  <si>
    <t>TDRIVE4_610ns</t>
  </si>
  <si>
    <t>DT_5000ns</t>
  </si>
  <si>
    <t>TDRIVE1_660ns</t>
  </si>
  <si>
    <t>TDRIVE2_620ns</t>
  </si>
  <si>
    <t>TDRIVE3_660ns</t>
  </si>
  <si>
    <t>TDRIVE4_620ns</t>
  </si>
  <si>
    <t>DT_5080ns</t>
  </si>
  <si>
    <t>TDRIVE1_670ns</t>
  </si>
  <si>
    <t>TDRIVE2_630ns</t>
  </si>
  <si>
    <t>TDRIVE3_670ns</t>
  </si>
  <si>
    <t>TDRIVE4_630ns</t>
  </si>
  <si>
    <t>DT_5160ns</t>
  </si>
  <si>
    <t>TDRIVE1_680ns</t>
  </si>
  <si>
    <t>TDRIVE2_640ns</t>
  </si>
  <si>
    <t>TDRIVE3_680ns</t>
  </si>
  <si>
    <t>TDRIVE4_640ns</t>
  </si>
  <si>
    <t>DT_5240ns</t>
  </si>
  <si>
    <t>TDRIVE1_690ns</t>
  </si>
  <si>
    <t>TDRIVE2_650ns</t>
  </si>
  <si>
    <t>TDRIVE3_690ns</t>
  </si>
  <si>
    <t>TDRIVE4_650ns</t>
  </si>
  <si>
    <t>DT_5320ns</t>
  </si>
  <si>
    <t>TDRIVE1_700ns</t>
  </si>
  <si>
    <t>TDRIVE2_660ns</t>
  </si>
  <si>
    <t>TDRIVE3_700ns</t>
  </si>
  <si>
    <t>TDRIVE4_660ns</t>
  </si>
  <si>
    <t>DT_5400ns</t>
  </si>
  <si>
    <t>TDRIVE1_710ns</t>
  </si>
  <si>
    <t>TDRIVE2_670ns</t>
  </si>
  <si>
    <t>TDRIVE3_710ns</t>
  </si>
  <si>
    <t>TDRIVE4_670ns</t>
  </si>
  <si>
    <t>DT_5480ns</t>
  </si>
  <si>
    <t>TDRIVE1_720ns</t>
  </si>
  <si>
    <t>TDRIVE2_680ns</t>
  </si>
  <si>
    <t>TDRIVE3_720ns</t>
  </si>
  <si>
    <t>TDRIVE4_680ns</t>
  </si>
  <si>
    <t>DT_5560ns</t>
  </si>
  <si>
    <t>TDRIVE1_730ns</t>
  </si>
  <si>
    <t>TDRIVE2_690ns</t>
  </si>
  <si>
    <t>TDRIVE3_730ns</t>
  </si>
  <si>
    <t>TDRIVE4_690ns</t>
  </si>
  <si>
    <t>DT_5640ns</t>
  </si>
  <si>
    <t>TDRIVE1_740ns</t>
  </si>
  <si>
    <t>TDRIVE2_700ns</t>
  </si>
  <si>
    <t>TDRIVE3_740ns</t>
  </si>
  <si>
    <t>TDRIVE4_700ns</t>
  </si>
  <si>
    <t>DT_5720ns</t>
  </si>
  <si>
    <t>TDRIVE1_750ns</t>
  </si>
  <si>
    <t>TDRIVE2_710ns</t>
  </si>
  <si>
    <t>TDRIVE3_750ns</t>
  </si>
  <si>
    <t>TDRIVE4_710ns</t>
  </si>
  <si>
    <t>DT_5800ns</t>
  </si>
  <si>
    <t>TDRIVE1_760ns</t>
  </si>
  <si>
    <t>TDRIVE2_720ns</t>
  </si>
  <si>
    <t>TDRIVE3_760ns</t>
  </si>
  <si>
    <t>TDRIVE4_720ns</t>
  </si>
  <si>
    <t>DT_5880ns</t>
  </si>
  <si>
    <t>TDRIVE1_770ns</t>
  </si>
  <si>
    <t>TDRIVE2_730ns</t>
  </si>
  <si>
    <t>TDRIVE3_770ns</t>
  </si>
  <si>
    <t>TDRIVE4_730ns</t>
  </si>
  <si>
    <t>DT_5960ns</t>
  </si>
  <si>
    <t>TDRIVE1_780ns</t>
  </si>
  <si>
    <t>TDRIVE2_740ns</t>
  </si>
  <si>
    <t>TDRIVE3_780ns</t>
  </si>
  <si>
    <t>TDRIVE4_740ns</t>
  </si>
  <si>
    <t>DT_6040ns</t>
  </si>
  <si>
    <t>TDRIVE1_790ns</t>
  </si>
  <si>
    <t>TDRIVE2_750ns</t>
  </si>
  <si>
    <t>TDRIVE3_790ns</t>
  </si>
  <si>
    <t>TDRIVE4_750ns</t>
  </si>
  <si>
    <t>DT_6120ns</t>
  </si>
  <si>
    <t>TDRIVE1_800ns</t>
  </si>
  <si>
    <t>TDRIVE2_760ns</t>
  </si>
  <si>
    <t>TDRIVE3_800ns</t>
  </si>
  <si>
    <t>TDRIVE4_760ns</t>
  </si>
  <si>
    <t>DT_6200ns</t>
  </si>
  <si>
    <t>TDRIVE1_810ns</t>
  </si>
  <si>
    <t>TDRIVE2_770ns</t>
  </si>
  <si>
    <t>TDRIVE3_810ns</t>
  </si>
  <si>
    <t>TDRIVE4_770ns</t>
  </si>
  <si>
    <t>DT_6280ns</t>
  </si>
  <si>
    <t>TDRIVE1_820ns</t>
  </si>
  <si>
    <t>TDRIVE2_780ns</t>
  </si>
  <si>
    <t>TDRIVE3_820ns</t>
  </si>
  <si>
    <t>TDRIVE4_780ns</t>
  </si>
  <si>
    <t>DT_6360ns</t>
  </si>
  <si>
    <t>TDRIVE1_830ns</t>
  </si>
  <si>
    <t>TDRIVE2_790ns</t>
  </si>
  <si>
    <t>TDRIVE3_830ns</t>
  </si>
  <si>
    <t>TDRIVE4_790ns</t>
  </si>
  <si>
    <t>DT_6440ns</t>
  </si>
  <si>
    <t>TDRIVE1_840ns</t>
  </si>
  <si>
    <t>TDRIVE2_800ns</t>
  </si>
  <si>
    <t>TDRIVE3_840ns</t>
  </si>
  <si>
    <t>TDRIVE4_800ns</t>
  </si>
  <si>
    <t>DT_6520ns</t>
  </si>
  <si>
    <t>TDRIVE1_850ns</t>
  </si>
  <si>
    <t>TDRIVE2_810ns</t>
  </si>
  <si>
    <t>TDRIVE3_850ns</t>
  </si>
  <si>
    <t>TDRIVE4_810ns</t>
  </si>
  <si>
    <t>DT_6600ns</t>
  </si>
  <si>
    <t>TDRIVE1_860ns</t>
  </si>
  <si>
    <t>TDRIVE2_820ns</t>
  </si>
  <si>
    <t>TDRIVE3_860ns</t>
  </si>
  <si>
    <t>TDRIVE4_820ns</t>
  </si>
  <si>
    <t>DT_6680ns</t>
  </si>
  <si>
    <t>TDRIVE1_870ns</t>
  </si>
  <si>
    <t>TDRIVE2_830ns</t>
  </si>
  <si>
    <t>TDRIVE3_870ns</t>
  </si>
  <si>
    <t>TDRIVE4_830ns</t>
  </si>
  <si>
    <t>DT_6760ns</t>
  </si>
  <si>
    <t>TDRIVE1_880ns</t>
  </si>
  <si>
    <t>TDRIVE2_840ns</t>
  </si>
  <si>
    <t>TDRIVE3_880ns</t>
  </si>
  <si>
    <t>TDRIVE4_840ns</t>
  </si>
  <si>
    <t>DT_6840ns</t>
  </si>
  <si>
    <t>TDRIVE1_890ns</t>
  </si>
  <si>
    <t>TDRIVE2_850ns</t>
  </si>
  <si>
    <t>TDRIVE3_890ns</t>
  </si>
  <si>
    <t>TDRIVE4_850ns</t>
  </si>
  <si>
    <t>DT_6920ns</t>
  </si>
  <si>
    <t>TDRIVE1_900ns</t>
  </si>
  <si>
    <t>TDRIVE2_860ns</t>
  </si>
  <si>
    <t>TDRIVE3_900ns</t>
  </si>
  <si>
    <t>TDRIVE4_860ns</t>
  </si>
  <si>
    <t>DT_7000ns</t>
  </si>
  <si>
    <t>TDRIVE1_910ns</t>
  </si>
  <si>
    <t>TDRIVE2_870ns</t>
  </si>
  <si>
    <t>TDRIVE3_910ns</t>
  </si>
  <si>
    <t>TDRIVE4_870ns</t>
  </si>
  <si>
    <t>DT_7080ns</t>
  </si>
  <si>
    <t>TDRIVE1_920ns</t>
  </si>
  <si>
    <t>TDRIVE2_880ns</t>
  </si>
  <si>
    <t>TDRIVE3_920ns</t>
  </si>
  <si>
    <t>TDRIVE4_880ns</t>
  </si>
  <si>
    <t>DT_7160ns</t>
  </si>
  <si>
    <t>TDRIVE1_930ns</t>
  </si>
  <si>
    <t>TDRIVE2_890ns</t>
  </si>
  <si>
    <t>TDRIVE3_930ns</t>
  </si>
  <si>
    <t>TDRIVE4_890ns</t>
  </si>
  <si>
    <t>DT_7240ns</t>
  </si>
  <si>
    <t>TDRIVE1_940ns</t>
  </si>
  <si>
    <t>TDRIVE2_900ns</t>
  </si>
  <si>
    <t>TDRIVE3_940ns</t>
  </si>
  <si>
    <t>TDRIVE4_900ns</t>
  </si>
  <si>
    <t>DT_7320ns</t>
  </si>
  <si>
    <t>TDRIVE1_950ns</t>
  </si>
  <si>
    <t>TDRIVE2_910ns</t>
  </si>
  <si>
    <t>TDRIVE3_950ns</t>
  </si>
  <si>
    <t>TDRIVE4_910ns</t>
  </si>
  <si>
    <t>DT_7400ns</t>
  </si>
  <si>
    <t>TDRIVE1_960ns</t>
  </si>
  <si>
    <t>TDRIVE2_920ns</t>
  </si>
  <si>
    <t>TDRIVE3_960ns</t>
  </si>
  <si>
    <t>TDRIVE4_920ns</t>
  </si>
  <si>
    <t>DT_7480ns</t>
  </si>
  <si>
    <t>TDRIVE1_970ns</t>
  </si>
  <si>
    <t>TDRIVE2_930ns</t>
  </si>
  <si>
    <t>TDRIVE3_970ns</t>
  </si>
  <si>
    <t>TDRIVE4_930ns</t>
  </si>
  <si>
    <t>DT_7560ns</t>
  </si>
  <si>
    <t>TDRIVE1_980ns</t>
  </si>
  <si>
    <t>TDRIVE2_940ns</t>
  </si>
  <si>
    <t>TDRIVE3_980ns</t>
  </si>
  <si>
    <t>TDRIVE4_940ns</t>
  </si>
  <si>
    <t>DT_7640ns</t>
  </si>
  <si>
    <t>TDRIVE1_990ns</t>
  </si>
  <si>
    <t>TDRIVE2_950ns</t>
  </si>
  <si>
    <t>TDRIVE3_990ns</t>
  </si>
  <si>
    <t>TDRIVE4_950ns</t>
  </si>
  <si>
    <t>DT_7720ns</t>
  </si>
  <si>
    <t>TDRIVE1_1000ns</t>
  </si>
  <si>
    <t>TDRIVE2_960ns</t>
  </si>
  <si>
    <t>TDRIVE3_1000ns</t>
  </si>
  <si>
    <t>TDRIVE4_960ns</t>
  </si>
  <si>
    <t>DT_7800ns</t>
  </si>
  <si>
    <t>TDRIVE1_1010ns</t>
  </si>
  <si>
    <t>TDRIVE2_970ns</t>
  </si>
  <si>
    <t>TDRIVE3_1010ns</t>
  </si>
  <si>
    <t>TDRIVE4_970ns</t>
  </si>
  <si>
    <t>DT_7880ns</t>
  </si>
  <si>
    <t>TDRIVE1_1020ns</t>
  </si>
  <si>
    <t>TDRIVE2_980ns</t>
  </si>
  <si>
    <t>TDRIVE3_1020ns</t>
  </si>
  <si>
    <t>TDRIVE4_980ns</t>
  </si>
  <si>
    <t>DT_7960ns</t>
  </si>
  <si>
    <t>TDRIVE1_1030ns</t>
  </si>
  <si>
    <t>TDRIVE2_990ns</t>
  </si>
  <si>
    <t>TDRIVE3_1030ns</t>
  </si>
  <si>
    <t>TDRIVE4_990ns</t>
  </si>
  <si>
    <t>DT_8040ns</t>
  </si>
  <si>
    <t>TDRIVE1_1040ns</t>
  </si>
  <si>
    <t>TDRIVE2_1000ns</t>
  </si>
  <si>
    <t>TDRIVE3_1040ns</t>
  </si>
  <si>
    <t>TDRIVE4_1000ns</t>
  </si>
  <si>
    <t>DT_8120ns</t>
  </si>
  <si>
    <t>TDRIVE1_1050ns</t>
  </si>
  <si>
    <t>TDRIVE2_1010ns</t>
  </si>
  <si>
    <t>TDRIVE3_1050ns</t>
  </si>
  <si>
    <t>TDRIVE4_1010ns</t>
  </si>
  <si>
    <t>DT_8200ns</t>
  </si>
  <si>
    <t>TDRIVE1_1060ns</t>
  </si>
  <si>
    <t>TDRIVE2_1020ns</t>
  </si>
  <si>
    <t>TDRIVE3_1060ns</t>
  </si>
  <si>
    <t>TDRIVE4_1020ns</t>
  </si>
  <si>
    <t>DT_8280ns</t>
  </si>
  <si>
    <t>TDRIVE1_1070ns</t>
  </si>
  <si>
    <t>TDRIVE2_1030ns</t>
  </si>
  <si>
    <t>TDRIVE3_1070ns</t>
  </si>
  <si>
    <t>TDRIVE4_1030ns</t>
  </si>
  <si>
    <t>DT_8360ns</t>
  </si>
  <si>
    <t>TDRIVE1_1080ns</t>
  </si>
  <si>
    <t>TDRIVE2_1040ns</t>
  </si>
  <si>
    <t>TDRIVE3_1080ns</t>
  </si>
  <si>
    <t>TDRIVE4_1040ns</t>
  </si>
  <si>
    <t>DT_8440ns</t>
  </si>
  <si>
    <t>TDRIVE1_1090ns</t>
  </si>
  <si>
    <t>TDRIVE2_1050ns</t>
  </si>
  <si>
    <t>TDRIVE3_1090ns</t>
  </si>
  <si>
    <t>TDRIVE4_1050ns</t>
  </si>
  <si>
    <t>DT_8520ns</t>
  </si>
  <si>
    <t>TDRIVE1_1100ns</t>
  </si>
  <si>
    <t>TDRIVE2_1060ns</t>
  </si>
  <si>
    <t>TDRIVE3_1100ns</t>
  </si>
  <si>
    <t>TDRIVE4_1060ns</t>
  </si>
  <si>
    <t>DT_8600ns</t>
  </si>
  <si>
    <t>TDRIVE1_1110ns</t>
  </si>
  <si>
    <t>TDRIVE2_1070ns</t>
  </si>
  <si>
    <t>TDRIVE3_1110ns</t>
  </si>
  <si>
    <t>TDRIVE4_1070ns</t>
  </si>
  <si>
    <t>DT_8680ns</t>
  </si>
  <si>
    <t>TDRIVE1_1120ns</t>
  </si>
  <si>
    <t>TDRIVE2_1080ns</t>
  </si>
  <si>
    <t>TDRIVE3_1120ns</t>
  </si>
  <si>
    <t>TDRIVE4_1080ns</t>
  </si>
  <si>
    <t>DT_8760ns</t>
  </si>
  <si>
    <t>TDRIVE1_1130ns</t>
  </si>
  <si>
    <t>TDRIVE2_1090ns</t>
  </si>
  <si>
    <t>TDRIVE3_1130ns</t>
  </si>
  <si>
    <t>TDRIVE4_1090ns</t>
  </si>
  <si>
    <t>DT_8840ns</t>
  </si>
  <si>
    <t>TDRIVE1_1140ns</t>
  </si>
  <si>
    <t>TDRIVE2_1100ns</t>
  </si>
  <si>
    <t>TDRIVE3_1140ns</t>
  </si>
  <si>
    <t>TDRIVE4_1100ns</t>
  </si>
  <si>
    <t>DT_8920ns</t>
  </si>
  <si>
    <t>TDRIVE1_1150ns</t>
  </si>
  <si>
    <t>TDRIVE2_1110ns</t>
  </si>
  <si>
    <t>TDRIVE3_1150ns</t>
  </si>
  <si>
    <t>TDRIVE4_1110ns</t>
  </si>
  <si>
    <t>DT_9000ns</t>
  </si>
  <si>
    <t>TDRIVE1_1160ns</t>
  </si>
  <si>
    <t>TDRIVE2_1120ns</t>
  </si>
  <si>
    <t>TDRIVE3_1160ns</t>
  </si>
  <si>
    <t>TDRIVE4_1120ns</t>
  </si>
  <si>
    <t>DT_9080ns</t>
  </si>
  <si>
    <t>TDRIVE1_1170ns</t>
  </si>
  <si>
    <t>TDRIVE2_1130ns</t>
  </si>
  <si>
    <t>TDRIVE3_1170ns</t>
  </si>
  <si>
    <t>TDRIVE4_1130ns</t>
  </si>
  <si>
    <t>DT_9160ns</t>
  </si>
  <si>
    <t>TDRIVE1_1180ns</t>
  </si>
  <si>
    <t>TDRIVE2_1140ns</t>
  </si>
  <si>
    <t>TDRIVE3_1180ns</t>
  </si>
  <si>
    <t>TDRIVE4_1140ns</t>
  </si>
  <si>
    <t>DT_9240ns</t>
  </si>
  <si>
    <t>TDRIVE1_1190ns</t>
  </si>
  <si>
    <t>TDRIVE2_1150ns</t>
  </si>
  <si>
    <t>TDRIVE3_1190ns</t>
  </si>
  <si>
    <t>TDRIVE4_1150ns</t>
  </si>
  <si>
    <t>DT_9320ns</t>
  </si>
  <si>
    <t>TDRIVE1_1200ns</t>
  </si>
  <si>
    <t>TDRIVE2_1160ns</t>
  </si>
  <si>
    <t>TDRIVE3_1200ns</t>
  </si>
  <si>
    <t>TDRIVE4_1160ns</t>
  </si>
  <si>
    <t>DT_9400ns</t>
  </si>
  <si>
    <t>TDRIVE1_1210ns</t>
  </si>
  <si>
    <t>TDRIVE2_1170ns</t>
  </si>
  <si>
    <t>TDRIVE3_1210ns</t>
  </si>
  <si>
    <t>TDRIVE4_1170ns</t>
  </si>
  <si>
    <t>DT_9480ns</t>
  </si>
  <si>
    <t>TDRIVE1_1220ns</t>
  </si>
  <si>
    <t>TDRIVE2_1180ns</t>
  </si>
  <si>
    <t>TDRIVE3_1220ns</t>
  </si>
  <si>
    <t>TDRIVE4_1180ns</t>
  </si>
  <si>
    <t>DT_9560ns</t>
  </si>
  <si>
    <t>TDRIVE1_1230ns</t>
  </si>
  <si>
    <t>TDRIVE2_1190ns</t>
  </si>
  <si>
    <t>TDRIVE3_1230ns</t>
  </si>
  <si>
    <t>TDRIVE4_1190ns</t>
  </si>
  <si>
    <t>DT_9640ns</t>
  </si>
  <si>
    <t>TDRIVE1_1240ns</t>
  </si>
  <si>
    <t>TDRIVE2_1200ns</t>
  </si>
  <si>
    <t>TDRIVE3_1240ns</t>
  </si>
  <si>
    <t>TDRIVE4_1200ns</t>
  </si>
  <si>
    <t>DT_9720ns</t>
  </si>
  <si>
    <t>TDRIVE1_1250ns</t>
  </si>
  <si>
    <t>TDRIVE2_1210ns</t>
  </si>
  <si>
    <t>TDRIVE3_1250ns</t>
  </si>
  <si>
    <t>TDRIVE4_1210ns</t>
  </si>
  <si>
    <t>DT_9800ns</t>
  </si>
  <si>
    <t>TDRIVE1_1260ns</t>
  </si>
  <si>
    <t>TDRIVE2_1220ns</t>
  </si>
  <si>
    <t>TDRIVE3_1260ns</t>
  </si>
  <si>
    <t>TDRIVE4_1220ns</t>
  </si>
  <si>
    <t>DT_9880ns</t>
  </si>
  <si>
    <t>TDRIVE1_1270ns</t>
  </si>
  <si>
    <t>TDRIVE2_1230ns</t>
  </si>
  <si>
    <t>TDRIVE3_1270ns</t>
  </si>
  <si>
    <t>TDRIVE4_1230ns</t>
  </si>
  <si>
    <t>DT_9960ns</t>
  </si>
  <si>
    <t>TDRIVE1_1280ns</t>
  </si>
  <si>
    <t>TDRIVE2_1240ns</t>
  </si>
  <si>
    <t>TDRIVE3_1280ns</t>
  </si>
  <si>
    <t>TDRIVE4_1240ns</t>
  </si>
  <si>
    <t>DT_10040ns</t>
  </si>
  <si>
    <t>TDRIVE1_1290ns</t>
  </si>
  <si>
    <t>TDRIVE2_1250ns</t>
  </si>
  <si>
    <t>TDRIVE3_1290ns</t>
  </si>
  <si>
    <t>TDRIVE4_1250ns</t>
  </si>
  <si>
    <t>DT_10120ns</t>
  </si>
  <si>
    <t>TDRIVE1_1300ns</t>
  </si>
  <si>
    <t>TDRIVE2_1260ns</t>
  </si>
  <si>
    <t>TDRIVE3_1300ns</t>
  </si>
  <si>
    <t>TDRIVE4_1260ns</t>
  </si>
  <si>
    <t>DT_10200ns</t>
  </si>
  <si>
    <t>TDRIVE1_1310ns</t>
  </si>
  <si>
    <t>TDRIVE2_1270ns</t>
  </si>
  <si>
    <t>TDRIVE3_1310ns</t>
  </si>
  <si>
    <t>TDRIVE4_1270ns</t>
  </si>
  <si>
    <t>DT_10280ns</t>
  </si>
  <si>
    <t>TDRIVE1_1320ns</t>
  </si>
  <si>
    <t>TDRIVE2_1280ns</t>
  </si>
  <si>
    <t>TDRIVE3_1320ns</t>
  </si>
  <si>
    <t>TDRIVE4_1280ns</t>
  </si>
  <si>
    <t>DT_10360ns</t>
  </si>
  <si>
    <t>TDRIVE1_1330ns</t>
  </si>
  <si>
    <t>TDRIVE2_1290ns</t>
  </si>
  <si>
    <t>TDRIVE3_1330ns</t>
  </si>
  <si>
    <t>TDRIVE4_1290ns</t>
  </si>
  <si>
    <t>DT_10440ns</t>
  </si>
  <si>
    <t>TDRIVE1_1340ns</t>
  </si>
  <si>
    <t>TDRIVE2_1300ns</t>
  </si>
  <si>
    <t>TDRIVE3_1340ns</t>
  </si>
  <si>
    <t>TDRIVE4_1300ns</t>
  </si>
  <si>
    <t>DT_10520ns</t>
  </si>
  <si>
    <t>TDRIVE1_1350ns</t>
  </si>
  <si>
    <t>TDRIVE2_1310ns</t>
  </si>
  <si>
    <t>TDRIVE3_1350ns</t>
  </si>
  <si>
    <t>TDRIVE4_1310ns</t>
  </si>
  <si>
    <t>DT_10600ns</t>
  </si>
  <si>
    <t>TDRIVE1_1360ns</t>
  </si>
  <si>
    <t>TDRIVE2_1320ns</t>
  </si>
  <si>
    <t>TDRIVE3_1360ns</t>
  </si>
  <si>
    <t>TDRIVE4_1320ns</t>
  </si>
  <si>
    <t>DT_10680ns</t>
  </si>
  <si>
    <t>TDRIVE1_1370ns</t>
  </si>
  <si>
    <t>TDRIVE2_1330ns</t>
  </si>
  <si>
    <t>TDRIVE3_1370ns</t>
  </si>
  <si>
    <t>TDRIVE4_1330ns</t>
  </si>
  <si>
    <t>DT_10760ns</t>
  </si>
  <si>
    <t>TDRIVE1_1380ns</t>
  </si>
  <si>
    <t>TDRIVE2_1340ns</t>
  </si>
  <si>
    <t>TDRIVE3_1380ns</t>
  </si>
  <si>
    <t>TDRIVE4_1340ns</t>
  </si>
  <si>
    <t>DT_10840ns</t>
  </si>
  <si>
    <t>TDRIVE1_1390ns</t>
  </si>
  <si>
    <t>TDRIVE2_1350ns</t>
  </si>
  <si>
    <t>TDRIVE3_1390ns</t>
  </si>
  <si>
    <t>TDRIVE4_1350ns</t>
  </si>
  <si>
    <t>DT_10920ns</t>
  </si>
  <si>
    <t>TDRIVE1_1400ns</t>
  </si>
  <si>
    <t>TDRIVE2_1360ns</t>
  </si>
  <si>
    <t>TDRIVE3_1400ns</t>
  </si>
  <si>
    <t>TDRIVE4_1360ns</t>
  </si>
  <si>
    <t>DT_11000ns</t>
  </si>
  <si>
    <t>TDRIVE1_1410ns</t>
  </si>
  <si>
    <t>TDRIVE2_1370ns</t>
  </si>
  <si>
    <t>TDRIVE3_1410ns</t>
  </si>
  <si>
    <t>TDRIVE4_1370ns</t>
  </si>
  <si>
    <t>DT_11080ns</t>
  </si>
  <si>
    <t>TDRIVE1_1420ns</t>
  </si>
  <si>
    <t>TDRIVE2_1380ns</t>
  </si>
  <si>
    <t>TDRIVE3_1420ns</t>
  </si>
  <si>
    <t>TDRIVE4_1380ns</t>
  </si>
  <si>
    <t>DT_11160ns</t>
  </si>
  <si>
    <t>TDRIVE1_1430ns</t>
  </si>
  <si>
    <t>TDRIVE2_1390ns</t>
  </si>
  <si>
    <t>TDRIVE3_1430ns</t>
  </si>
  <si>
    <t>TDRIVE4_1390ns</t>
  </si>
  <si>
    <t>DT_11240ns</t>
  </si>
  <si>
    <t>TDRIVE1_1440ns</t>
  </si>
  <si>
    <t>TDRIVE2_1400ns</t>
  </si>
  <si>
    <t>TDRIVE3_1440ns</t>
  </si>
  <si>
    <t>TDRIVE4_1400ns</t>
  </si>
  <si>
    <t>DT_11320ns</t>
  </si>
  <si>
    <t>TDRIVE1_1450ns</t>
  </si>
  <si>
    <t>TDRIVE2_1410ns</t>
  </si>
  <si>
    <t>TDRIVE3_1450ns</t>
  </si>
  <si>
    <t>TDRIVE4_1410ns</t>
  </si>
  <si>
    <t>DT_11400ns</t>
  </si>
  <si>
    <t>TDRIVE1_1460ns</t>
  </si>
  <si>
    <t>TDRIVE2_1420ns</t>
  </si>
  <si>
    <t>TDRIVE3_1460ns</t>
  </si>
  <si>
    <t>TDRIVE4_1420ns</t>
  </si>
  <si>
    <t>DT_11480ns</t>
  </si>
  <si>
    <t>TDRIVE1_1470ns</t>
  </si>
  <si>
    <t>TDRIVE2_1430ns</t>
  </si>
  <si>
    <t>TDRIVE3_1470ns</t>
  </si>
  <si>
    <t>TDRIVE4_1430ns</t>
  </si>
  <si>
    <t>DT_11560ns</t>
  </si>
  <si>
    <t>TDRIVE1_1480ns</t>
  </si>
  <si>
    <t>TDRIVE2_1440ns</t>
  </si>
  <si>
    <t>TDRIVE3_1480ns</t>
  </si>
  <si>
    <t>TDRIVE4_1440ns</t>
  </si>
  <si>
    <t>DT_11640ns</t>
  </si>
  <si>
    <t>TDRIVE1_1490ns</t>
  </si>
  <si>
    <t>TDRIVE2_1450ns</t>
  </si>
  <si>
    <t>TDRIVE3_1490ns</t>
  </si>
  <si>
    <t>TDRIVE4_1450ns</t>
  </si>
  <si>
    <t>DT_11720ns</t>
  </si>
  <si>
    <t>TDRIVE1_1500ns</t>
  </si>
  <si>
    <t>TDRIVE2_1460ns</t>
  </si>
  <si>
    <t>TDRIVE3_1500ns</t>
  </si>
  <si>
    <t>TDRIVE4_1460ns</t>
  </si>
  <si>
    <t>DT_11800ns</t>
  </si>
  <si>
    <t>TDRIVE1_1510ns</t>
  </si>
  <si>
    <t>TDRIVE2_1470ns</t>
  </si>
  <si>
    <t>TDRIVE3_1510ns</t>
  </si>
  <si>
    <t>TDRIVE4_1470ns</t>
  </si>
  <si>
    <t>DT_11880ns</t>
  </si>
  <si>
    <t>TDRIVE1_1520ns</t>
  </si>
  <si>
    <t>TDRIVE2_1480ns</t>
  </si>
  <si>
    <t>TDRIVE3_1520ns</t>
  </si>
  <si>
    <t>TDRIVE4_1480ns</t>
  </si>
  <si>
    <t>DT_11960ns</t>
  </si>
  <si>
    <t>TDRIVE1_1530ns</t>
  </si>
  <si>
    <t>TDRIVE2_1490ns</t>
  </si>
  <si>
    <t>TDRIVE3_1530ns</t>
  </si>
  <si>
    <t>TDRIVE4_1490ns</t>
  </si>
  <si>
    <t>DT_12040ns</t>
  </si>
  <si>
    <t>TDRIVE1_1540ns</t>
  </si>
  <si>
    <t>TDRIVE2_1500ns</t>
  </si>
  <si>
    <t>TDRIVE3_1540ns</t>
  </si>
  <si>
    <t>TDRIVE4_1500ns</t>
  </si>
  <si>
    <t>TDRIVE1_1550ns</t>
  </si>
  <si>
    <t>TDRIVE2_1510ns</t>
  </si>
  <si>
    <t>TDRIVE3_1550ns</t>
  </si>
  <si>
    <t>TDRIVE4_1510ns</t>
  </si>
  <si>
    <t>TDRIVE1_1560ns</t>
  </si>
  <si>
    <t>TDRIVE2_1520ns</t>
  </si>
  <si>
    <t>TDRIVE3_1560ns</t>
  </si>
  <si>
    <t>TDRIVE4_1520ns</t>
  </si>
  <si>
    <t>TDRIVE1_1570ns</t>
  </si>
  <si>
    <t>TDRIVE2_1530ns</t>
  </si>
  <si>
    <t>TDRIVE3_1570ns</t>
  </si>
  <si>
    <t>TDRIVE4_1530ns</t>
  </si>
  <si>
    <t>TDRIVE1_1580ns</t>
  </si>
  <si>
    <t>TDRIVE2_1540ns</t>
  </si>
  <si>
    <t>TDRIVE3_1580ns</t>
  </si>
  <si>
    <t>TDRIVE4_1540ns</t>
  </si>
  <si>
    <t>TDRIVE1_1590ns</t>
  </si>
  <si>
    <t>TDRIVE2_1550ns</t>
  </si>
  <si>
    <t>TDRIVE3_1590ns</t>
  </si>
  <si>
    <t>TDRIVE4_1550ns</t>
  </si>
  <si>
    <t>TDRIVE1_1600ns</t>
  </si>
  <si>
    <t>TDRIVE2_1560ns</t>
  </si>
  <si>
    <t>TDRIVE3_1600ns</t>
  </si>
  <si>
    <t>TDRIVE4_1560ns</t>
  </si>
  <si>
    <t>TDRIVE1_1610ns</t>
  </si>
  <si>
    <t>TDRIVE2_1570ns</t>
  </si>
  <si>
    <t>TDRIVE3_1610ns</t>
  </si>
  <si>
    <t>TDRIVE4_1570ns</t>
  </si>
  <si>
    <t>TDRIVE1_1620ns</t>
  </si>
  <si>
    <t>TDRIVE2_1580ns</t>
  </si>
  <si>
    <t>TDRIVE3_1620ns</t>
  </si>
  <si>
    <t>TDRIVE4_1580ns</t>
  </si>
  <si>
    <t>TDRIVE1_1630ns</t>
  </si>
  <si>
    <t>TDRIVE2_1590ns</t>
  </si>
  <si>
    <t>TDRIVE3_1630ns</t>
  </si>
  <si>
    <t>TDRIVE4_1590ns</t>
  </si>
  <si>
    <t>TDRIVE1_1640ns</t>
  </si>
  <si>
    <t>TDRIVE2_1600ns</t>
  </si>
  <si>
    <t>TDRIVE3_1640ns</t>
  </si>
  <si>
    <t>TDRIVE4_1600ns</t>
  </si>
  <si>
    <t>TDRIVE1_1650ns</t>
  </si>
  <si>
    <t>TDRIVE2_1610ns</t>
  </si>
  <si>
    <t>TDRIVE3_1650ns</t>
  </si>
  <si>
    <t>TDRIVE4_1610ns</t>
  </si>
  <si>
    <t>TDRIVE1_1660ns</t>
  </si>
  <si>
    <t>TDRIVE2_1620ns</t>
  </si>
  <si>
    <t>TDRIVE3_1660ns</t>
  </si>
  <si>
    <t>TDRIVE4_1620ns</t>
  </si>
  <si>
    <t>TDRIVE1_1670ns</t>
  </si>
  <si>
    <t>TDRIVE2_1630ns</t>
  </si>
  <si>
    <t>TDRIVE3_1670ns</t>
  </si>
  <si>
    <t>TDRIVE4_1630ns</t>
  </si>
  <si>
    <t>TDRIVE1_1680ns</t>
  </si>
  <si>
    <t>TDRIVE2_1640ns</t>
  </si>
  <si>
    <t>TDRIVE3_1680ns</t>
  </si>
  <si>
    <t>TDRIVE4_1640ns</t>
  </si>
  <si>
    <t>TDRIVE1_1690ns</t>
  </si>
  <si>
    <t>TDRIVE2_1650ns</t>
  </si>
  <si>
    <t>TDRIVE3_1690ns</t>
  </si>
  <si>
    <t>TDRIVE4_1650ns</t>
  </si>
  <si>
    <t>TDRIVE1_1700ns</t>
  </si>
  <si>
    <t>TDRIVE2_1660ns</t>
  </si>
  <si>
    <t>TDRIVE3_1700ns</t>
  </si>
  <si>
    <t>TDRIVE4_1660ns</t>
  </si>
  <si>
    <t>TDRIVE1_1710ns</t>
  </si>
  <si>
    <t>TDRIVE2_1670ns</t>
  </si>
  <si>
    <t>TDRIVE3_1710ns</t>
  </si>
  <si>
    <t>TDRIVE4_1670ns</t>
  </si>
  <si>
    <t>TDRIVE1_1720ns</t>
  </si>
  <si>
    <t>TDRIVE2_1680ns</t>
  </si>
  <si>
    <t>TDRIVE3_1720ns</t>
  </si>
  <si>
    <t>TDRIVE4_1680ns</t>
  </si>
  <si>
    <t>TDRIVE1_1730ns</t>
  </si>
  <si>
    <t>TDRIVE2_1690ns</t>
  </si>
  <si>
    <t>TDRIVE3_1730ns</t>
  </si>
  <si>
    <t>TDRIVE4_1690ns</t>
  </si>
  <si>
    <t>TDRIVE1_1740ns</t>
  </si>
  <si>
    <t>TDRIVE2_1700ns</t>
  </si>
  <si>
    <t>TDRIVE3_1740ns</t>
  </si>
  <si>
    <t>TDRIVE4_1700ns</t>
  </si>
  <si>
    <t>TDRIVE1_1750ns</t>
  </si>
  <si>
    <t>TDRIVE2_1710ns</t>
  </si>
  <si>
    <t>TDRIVE3_1750ns</t>
  </si>
  <si>
    <t>TDRIVE4_1710ns</t>
  </si>
  <si>
    <t>TDRIVE1_1760ns</t>
  </si>
  <si>
    <t>TDRIVE2_1720ns</t>
  </si>
  <si>
    <t>TDRIVE3_1760ns</t>
  </si>
  <si>
    <t>TDRIVE4_1720ns</t>
  </si>
  <si>
    <t>TDRIVE1_1770ns</t>
  </si>
  <si>
    <t>TDRIVE2_1730ns</t>
  </si>
  <si>
    <t>TDRIVE3_1770ns</t>
  </si>
  <si>
    <t>TDRIVE4_1730ns</t>
  </si>
  <si>
    <t>TDRIVE1_1780ns</t>
  </si>
  <si>
    <t>TDRIVE2_1740ns</t>
  </si>
  <si>
    <t>TDRIVE3_1780ns</t>
  </si>
  <si>
    <t>TDRIVE4_1740ns</t>
  </si>
  <si>
    <t>TDRIVE1_1790ns</t>
  </si>
  <si>
    <t>TDRIVE2_1750ns</t>
  </si>
  <si>
    <t>TDRIVE3_1790ns</t>
  </si>
  <si>
    <t>TDRIVE4_1750ns</t>
  </si>
  <si>
    <t>TDRIVE1_1800ns</t>
  </si>
  <si>
    <t>TDRIVE2_1760ns</t>
  </si>
  <si>
    <t>TDRIVE3_1800ns</t>
  </si>
  <si>
    <t>TDRIVE4_1760ns</t>
  </si>
  <si>
    <t>TDRIVE1_1810ns</t>
  </si>
  <si>
    <t>TDRIVE2_1770ns</t>
  </si>
  <si>
    <t>TDRIVE3_1810ns</t>
  </si>
  <si>
    <t>TDRIVE4_1770ns</t>
  </si>
  <si>
    <t>TDRIVE1_1820ns</t>
  </si>
  <si>
    <t>TDRIVE2_1780ns</t>
  </si>
  <si>
    <t>TDRIVE3_1820ns</t>
  </si>
  <si>
    <t>TDRIVE4_1780ns</t>
  </si>
  <si>
    <t>TDRIVE1_1830ns</t>
  </si>
  <si>
    <t>TDRIVE2_1790ns</t>
  </si>
  <si>
    <t>TDRIVE3_1830ns</t>
  </si>
  <si>
    <t>TDRIVE4_1790ns</t>
  </si>
  <si>
    <t>TDRIVE1_1840ns</t>
  </si>
  <si>
    <t>TDRIVE2_1800ns</t>
  </si>
  <si>
    <t>TDRIVE3_1840ns</t>
  </si>
  <si>
    <t>TDRIVE4_1800ns</t>
  </si>
  <si>
    <t>TDRIVE1_1850ns</t>
  </si>
  <si>
    <t>TDRIVE2_1810ns</t>
  </si>
  <si>
    <t>TDRIVE3_1850ns</t>
  </si>
  <si>
    <t>TDRIVE4_1810ns</t>
  </si>
  <si>
    <t>TDRIVE1_1860ns</t>
  </si>
  <si>
    <t>TDRIVE2_1820ns</t>
  </si>
  <si>
    <t>TDRIVE3_1860ns</t>
  </si>
  <si>
    <t>TDRIVE4_1820ns</t>
  </si>
  <si>
    <t>TDRIVE1_1870ns</t>
  </si>
  <si>
    <t>TDRIVE2_1830ns</t>
  </si>
  <si>
    <t>TDRIVE3_1870ns</t>
  </si>
  <si>
    <t>TDRIVE4_1830ns</t>
  </si>
  <si>
    <t>TDRIVE1_1880ns</t>
  </si>
  <si>
    <t>TDRIVE2_1840ns</t>
  </si>
  <si>
    <t>TDRIVE3_1880ns</t>
  </si>
  <si>
    <t>TDRIVE4_1840ns</t>
  </si>
  <si>
    <t>TDRIVE1_1890ns</t>
  </si>
  <si>
    <t>TDRIVE2_1850ns</t>
  </si>
  <si>
    <t>TDRIVE3_1890ns</t>
  </si>
  <si>
    <t>TDRIVE4_1850ns</t>
  </si>
  <si>
    <t>TDRIVE1_1900ns</t>
  </si>
  <si>
    <t>TDRIVE2_1860ns</t>
  </si>
  <si>
    <t>TDRIVE3_1900ns</t>
  </si>
  <si>
    <t>TDRIVE4_1860ns</t>
  </si>
  <si>
    <t>TDRIVE1_1910ns</t>
  </si>
  <si>
    <t>TDRIVE2_1870ns</t>
  </si>
  <si>
    <t>TDRIVE3_1910ns</t>
  </si>
  <si>
    <t>TDRIVE4_1870ns</t>
  </si>
  <si>
    <t>TDRIVE1_1920ns</t>
  </si>
  <si>
    <t>TDRIVE2_1880ns</t>
  </si>
  <si>
    <t>TDRIVE3_1920ns</t>
  </si>
  <si>
    <t>TDRIVE4_1880ns</t>
  </si>
  <si>
    <t>TDRIVE1_1930ns</t>
  </si>
  <si>
    <t>TDRIVE2_1890ns</t>
  </si>
  <si>
    <t>TDRIVE3_1930ns</t>
  </si>
  <si>
    <t>TDRIVE4_1890ns</t>
  </si>
  <si>
    <t>TDRIVE1_1940ns</t>
  </si>
  <si>
    <t>TDRIVE2_1900ns</t>
  </si>
  <si>
    <t>TDRIVE3_1940ns</t>
  </si>
  <si>
    <t>TDRIVE4_1900ns</t>
  </si>
  <si>
    <t>TDRIVE1_1950ns</t>
  </si>
  <si>
    <t>TDRIVE2_1910ns</t>
  </si>
  <si>
    <t>TDRIVE3_1950ns</t>
  </si>
  <si>
    <t>TDRIVE4_1910ns</t>
  </si>
  <si>
    <t>TDRIVE1_1960ns</t>
  </si>
  <si>
    <t>TDRIVE2_1920ns</t>
  </si>
  <si>
    <t>TDRIVE3_1960ns</t>
  </si>
  <si>
    <t>TDRIVE4_1920ns</t>
  </si>
  <si>
    <t>TDRIVE1_1970ns</t>
  </si>
  <si>
    <t>TDRIVE2_1930ns</t>
  </si>
  <si>
    <t>TDRIVE3_1970ns</t>
  </si>
  <si>
    <t>TDRIVE4_1930ns</t>
  </si>
  <si>
    <t>TDRIVE1_1980ns</t>
  </si>
  <si>
    <t>TDRIVE2_1940ns</t>
  </si>
  <si>
    <t>TDRIVE3_1980ns</t>
  </si>
  <si>
    <t>TDRIVE4_1940ns</t>
  </si>
  <si>
    <t>TDRIVE1_1990ns</t>
  </si>
  <si>
    <t>TDRIVE2_1950ns</t>
  </si>
  <si>
    <t>TDRIVE3_1990ns</t>
  </si>
  <si>
    <t>TDRIVE4_1950ns</t>
  </si>
  <si>
    <t>TDRIVE1_2000ns</t>
  </si>
  <si>
    <t>TDRIVE2_1960ns</t>
  </si>
  <si>
    <t>TDRIVE3_2000ns</t>
  </si>
  <si>
    <t>TDRIVE4_1960ns</t>
  </si>
  <si>
    <t>TDRIVE1_2010ns</t>
  </si>
  <si>
    <t>TDRIVE2_1970ns</t>
  </si>
  <si>
    <t>TDRIVE3_2010ns</t>
  </si>
  <si>
    <t>TDRIVE4_1970ns</t>
  </si>
  <si>
    <t>TDRIVE1_2020ns</t>
  </si>
  <si>
    <t>TDRIVE2_1980ns</t>
  </si>
  <si>
    <t>TDRIVE3_2020ns</t>
  </si>
  <si>
    <t>TDRIVE4_1980ns</t>
  </si>
  <si>
    <t>TDRIVE1_2030ns</t>
  </si>
  <si>
    <t>TDRIVE2_1990ns</t>
  </si>
  <si>
    <t>TDRIVE3_2030ns</t>
  </si>
  <si>
    <t>TDRIVE4_1990ns</t>
  </si>
  <si>
    <t>TDRIVE1_2040ns</t>
  </si>
  <si>
    <t>TDRIVE2_2000ns</t>
  </si>
  <si>
    <t>TDRIVE3_2040ns</t>
  </si>
  <si>
    <t>TDRIVE4_2000ns</t>
  </si>
  <si>
    <t>TDRIVE1_2050ns</t>
  </si>
  <si>
    <t>TDRIVE2_2010ns</t>
  </si>
  <si>
    <t>TDRIVE3_2050ns</t>
  </si>
  <si>
    <t>TDRIVE4_2010ns</t>
  </si>
  <si>
    <t>TDRIVE1_2060ns</t>
  </si>
  <si>
    <t>TDRIVE2_2020ns</t>
  </si>
  <si>
    <t>TDRIVE3_2060ns</t>
  </si>
  <si>
    <t>TDRIVE4_2020ns</t>
  </si>
  <si>
    <t>TDRIVE1_2070ns</t>
  </si>
  <si>
    <t>TDRIVE2_2030ns</t>
  </si>
  <si>
    <t>TDRIVE3_2070ns</t>
  </si>
  <si>
    <t>TDRIVE4_2030ns</t>
  </si>
  <si>
    <t>TDRIVE1_2080ns</t>
  </si>
  <si>
    <t>TDRIVE2_2040ns</t>
  </si>
  <si>
    <t>TDRIVE3_2080ns</t>
  </si>
  <si>
    <t>TDRIVE4_2040ns</t>
  </si>
  <si>
    <t>TDRIVE1_2090ns</t>
  </si>
  <si>
    <t>TDRIVE2_2050ns</t>
  </si>
  <si>
    <t>TDRIVE3_2090ns</t>
  </si>
  <si>
    <t>TDRIVE4_2050ns</t>
  </si>
  <si>
    <t>TDRIVE1_2100ns</t>
  </si>
  <si>
    <t>TDRIVE2_2060ns</t>
  </si>
  <si>
    <t>TDRIVE3_2100ns</t>
  </si>
  <si>
    <t>TDRIVE4_2060ns</t>
  </si>
  <si>
    <t>TDRIVE1_2110ns</t>
  </si>
  <si>
    <t>TDRIVE2_2070ns</t>
  </si>
  <si>
    <t>TDRIVE3_2110ns</t>
  </si>
  <si>
    <t>TDRIVE4_2070ns</t>
  </si>
  <si>
    <t>TDRIVE1_2120ns</t>
  </si>
  <si>
    <t>TDRIVE2_2080ns</t>
  </si>
  <si>
    <t>TDRIVE3_2120ns</t>
  </si>
  <si>
    <t>TDRIVE4_2080ns</t>
  </si>
  <si>
    <t>TDRIVE1_2130ns</t>
  </si>
  <si>
    <t>TDRIVE2_2090ns</t>
  </si>
  <si>
    <t>TDRIVE3_2130ns</t>
  </si>
  <si>
    <t>TDRIVE4_2090ns</t>
  </si>
  <si>
    <t>TDRIVE1_2140ns</t>
  </si>
  <si>
    <t>TDRIVE2_2100ns</t>
  </si>
  <si>
    <t>TDRIVE3_2140ns</t>
  </si>
  <si>
    <t>TDRIVE4_2100ns</t>
  </si>
  <si>
    <t>TDRIVE1_2150ns</t>
  </si>
  <si>
    <t>TDRIVE2_2110ns</t>
  </si>
  <si>
    <t>TDRIVE3_2150ns</t>
  </si>
  <si>
    <t>TDRIVE4_2110ns</t>
  </si>
  <si>
    <t>TDRIVE1_2160ns</t>
  </si>
  <si>
    <t>TDRIVE2_2120ns</t>
  </si>
  <si>
    <t>TDRIVE3_2160ns</t>
  </si>
  <si>
    <t>TDRIVE4_2120ns</t>
  </si>
  <si>
    <t>TDRIVE1_2170ns</t>
  </si>
  <si>
    <t>TDRIVE2_2130ns</t>
  </si>
  <si>
    <t>TDRIVE3_2170ns</t>
  </si>
  <si>
    <t>TDRIVE4_2130ns</t>
  </si>
  <si>
    <t>TDRIVE1_2180ns</t>
  </si>
  <si>
    <t>TDRIVE2_2140ns</t>
  </si>
  <si>
    <t>TDRIVE3_2180ns</t>
  </si>
  <si>
    <t>TDRIVE4_2140ns</t>
  </si>
  <si>
    <t>TDRIVE1_2190ns</t>
  </si>
  <si>
    <t>TDRIVE2_2150ns</t>
  </si>
  <si>
    <t>TDRIVE3_2190ns</t>
  </si>
  <si>
    <t>TDRIVE4_2150ns</t>
  </si>
  <si>
    <t>TDRIVE1_2200ns</t>
  </si>
  <si>
    <t>TDRIVE2_2160ns</t>
  </si>
  <si>
    <t>TDRIVE3_2200ns</t>
  </si>
  <si>
    <t>TDRIVE4_2160ns</t>
  </si>
  <si>
    <t>TDRIVE1_2210ns</t>
  </si>
  <si>
    <t>TDRIVE2_2170ns</t>
  </si>
  <si>
    <t>TDRIVE3_2210ns</t>
  </si>
  <si>
    <t>TDRIVE4_2170ns</t>
  </si>
  <si>
    <t>TDRIVE1_2220ns</t>
  </si>
  <si>
    <t>TDRIVE2_2180ns</t>
  </si>
  <si>
    <t>TDRIVE3_2220ns</t>
  </si>
  <si>
    <t>TDRIVE4_2180ns</t>
  </si>
  <si>
    <t>TDRIVE1_2230ns</t>
  </si>
  <si>
    <t>TDRIVE2_2190ns</t>
  </si>
  <si>
    <t>TDRIVE3_2230ns</t>
  </si>
  <si>
    <t>TDRIVE4_2190ns</t>
  </si>
  <si>
    <t>TDRIVE1_2240ns</t>
  </si>
  <si>
    <t>TDRIVE2_2200ns</t>
  </si>
  <si>
    <t>TDRIVE3_2240ns</t>
  </si>
  <si>
    <t>TDRIVE4_2200ns</t>
  </si>
  <si>
    <t>TDRIVE1_2250ns</t>
  </si>
  <si>
    <t>TDRIVE2_2210ns</t>
  </si>
  <si>
    <t>TDRIVE3_2250ns</t>
  </si>
  <si>
    <t>TDRIVE4_2210ns</t>
  </si>
  <si>
    <t>TDRIVE1_2260ns</t>
  </si>
  <si>
    <t>TDRIVE2_2220ns</t>
  </si>
  <si>
    <t>TDRIVE3_2260ns</t>
  </si>
  <si>
    <t>TDRIVE4_2220ns</t>
  </si>
  <si>
    <t>TDRIVE1_2270ns</t>
  </si>
  <si>
    <t>TDRIVE2_2230ns</t>
  </si>
  <si>
    <t>TDRIVE3_2270ns</t>
  </si>
  <si>
    <t>TDRIVE4_2230ns</t>
  </si>
  <si>
    <t>TDRIVE1_2280ns</t>
  </si>
  <si>
    <t>TDRIVE2_2240ns</t>
  </si>
  <si>
    <t>TDRIVE3_2280ns</t>
  </si>
  <si>
    <t>TDRIVE4_2240ns</t>
  </si>
  <si>
    <t>TDRIVE1_2290ns</t>
  </si>
  <si>
    <t>TDRIVE2_2250ns</t>
  </si>
  <si>
    <t>TDRIVE3_2290ns</t>
  </si>
  <si>
    <t>TDRIVE4_2250ns</t>
  </si>
  <si>
    <t>TDRIVE1_2300ns</t>
  </si>
  <si>
    <t>TDRIVE2_2260ns</t>
  </si>
  <si>
    <t>TDRIVE3_2300ns</t>
  </si>
  <si>
    <t>TDRIVE4_2260ns</t>
  </si>
  <si>
    <t>TDRIVE1_2310ns</t>
  </si>
  <si>
    <t>TDRIVE2_2270ns</t>
  </si>
  <si>
    <t>TDRIVE3_2310ns</t>
  </si>
  <si>
    <t>TDRIVE4_2270ns</t>
  </si>
  <si>
    <t>TDRIVE1_2320ns</t>
  </si>
  <si>
    <t>TDRIVE2_2280ns</t>
  </si>
  <si>
    <t>TDRIVE3_2320ns</t>
  </si>
  <si>
    <t>TDRIVE4_2280ns</t>
  </si>
  <si>
    <t>TDRIVE1_2330ns</t>
  </si>
  <si>
    <t>TDRIVE2_2290ns</t>
  </si>
  <si>
    <t>TDRIVE3_2330ns</t>
  </si>
  <si>
    <t>TDRIVE4_2290ns</t>
  </si>
  <si>
    <t>TDRIVE1_2340ns</t>
  </si>
  <si>
    <t>TDRIVE2_2300ns</t>
  </si>
  <si>
    <t>TDRIVE3_2340ns</t>
  </si>
  <si>
    <t>TDRIVE4_2300ns</t>
  </si>
  <si>
    <t>TDRIVE1_2350ns</t>
  </si>
  <si>
    <t>TDRIVE2_2310ns</t>
  </si>
  <si>
    <t>TDRIVE3_2350ns</t>
  </si>
  <si>
    <t>TDRIVE4_2310ns</t>
  </si>
  <si>
    <t>TDRIVE1_2360ns</t>
  </si>
  <si>
    <t>TDRIVE2_2320ns</t>
  </si>
  <si>
    <t>TDRIVE3_2360ns</t>
  </si>
  <si>
    <t>TDRIVE4_2320ns</t>
  </si>
  <si>
    <t>TDRIVE1_2370ns</t>
  </si>
  <si>
    <t>TDRIVE2_2330ns</t>
  </si>
  <si>
    <t>TDRIVE3_2370ns</t>
  </si>
  <si>
    <t>TDRIVE4_2330ns</t>
  </si>
  <si>
    <t>TDRIVE1_2380ns</t>
  </si>
  <si>
    <t>TDRIVE2_2340ns</t>
  </si>
  <si>
    <t>TDRIVE3_2380ns</t>
  </si>
  <si>
    <t>TDRIVE4_2340ns</t>
  </si>
  <si>
    <t>TDRIVE1_2390ns</t>
  </si>
  <si>
    <t>TDRIVE2_2350ns</t>
  </si>
  <si>
    <t>TDRIVE3_2390ns</t>
  </si>
  <si>
    <t>TDRIVE4_2350ns</t>
  </si>
  <si>
    <t>TDRIVE1_2400ns</t>
  </si>
  <si>
    <t>TDRIVE2_2360ns</t>
  </si>
  <si>
    <t>TDRIVE3_2400ns</t>
  </si>
  <si>
    <t>TDRIVE4_2360ns</t>
  </si>
  <si>
    <t>TDRIVE1_2410ns</t>
  </si>
  <si>
    <t>TDRIVE2_2370ns</t>
  </si>
  <si>
    <t>TDRIVE3_2410ns</t>
  </si>
  <si>
    <t>TDRIVE4_2370ns</t>
  </si>
  <si>
    <t>TDRIVE1_2420ns</t>
  </si>
  <si>
    <t>TDRIVE2_2380ns</t>
  </si>
  <si>
    <t>TDRIVE3_2420ns</t>
  </si>
  <si>
    <t>TDRIVE4_2380ns</t>
  </si>
  <si>
    <t>TDRIVE1_2430ns</t>
  </si>
  <si>
    <t>TDRIVE2_2390ns</t>
  </si>
  <si>
    <t>TDRIVE3_2430ns</t>
  </si>
  <si>
    <t>TDRIVE4_2390ns</t>
  </si>
  <si>
    <t>TDRIVE1_2440ns</t>
  </si>
  <si>
    <t>TDRIVE2_2400ns</t>
  </si>
  <si>
    <t>TDRIVE3_2440ns</t>
  </si>
  <si>
    <t>TDRIVE4_2400ns</t>
  </si>
  <si>
    <t>TDRIVE1_2450ns</t>
  </si>
  <si>
    <t>TDRIVE2_2410ns</t>
  </si>
  <si>
    <t>TDRIVE3_2450ns</t>
  </si>
  <si>
    <t>TDRIVE4_2410ns</t>
  </si>
  <si>
    <t>TDRIVE1_2460ns</t>
  </si>
  <si>
    <t>TDRIVE2_2420ns</t>
  </si>
  <si>
    <t>TDRIVE3_2460ns</t>
  </si>
  <si>
    <t>TDRIVE4_2420ns</t>
  </si>
  <si>
    <t>TDRIVE1_2470ns</t>
  </si>
  <si>
    <t>TDRIVE2_2430ns</t>
  </si>
  <si>
    <t>TDRIVE3_2470ns</t>
  </si>
  <si>
    <t>TDRIVE4_2430ns</t>
  </si>
  <si>
    <t>TDRIVE1_2480ns</t>
  </si>
  <si>
    <t>TDRIVE2_2440ns</t>
  </si>
  <si>
    <t>TDRIVE3_2480ns</t>
  </si>
  <si>
    <t>TDRIVE4_2440ns</t>
  </si>
  <si>
    <t>TDRIVE1_2490ns</t>
  </si>
  <si>
    <t>TDRIVE2_2450ns</t>
  </si>
  <si>
    <t>TDRIVE3_2490ns</t>
  </si>
  <si>
    <t>TDRIVE4_2450ns</t>
  </si>
  <si>
    <t>TDRIVE1_2500ns</t>
  </si>
  <si>
    <t>TDRIVE2_2460ns</t>
  </si>
  <si>
    <t>TDRIVE3_2500ns</t>
  </si>
  <si>
    <t>TDRIVE4_2460ns</t>
  </si>
  <si>
    <t>TDRIVE1_2510ns</t>
  </si>
  <si>
    <t>TDRIVE2_2470ns</t>
  </si>
  <si>
    <t>TDRIVE3_2510ns</t>
  </si>
  <si>
    <t>TDRIVE4_2470ns</t>
  </si>
  <si>
    <t>TDRIVE1_2520ns</t>
  </si>
  <si>
    <t>TDRIVE2_2480ns</t>
  </si>
  <si>
    <t>TDRIVE3_2520ns</t>
  </si>
  <si>
    <t>TDRIVE4_2480ns</t>
  </si>
  <si>
    <t>TDRIVE1_2530ns</t>
  </si>
  <si>
    <t>TDRIVE2_2490ns</t>
  </si>
  <si>
    <t>TDRIVE3_2530ns</t>
  </si>
  <si>
    <t>TDRIVE4_2490ns</t>
  </si>
  <si>
    <t>TDRIVE1_2540ns</t>
  </si>
  <si>
    <t>TDRIVE2_2500ns</t>
  </si>
  <si>
    <t>TDRIVE3_2540ns</t>
  </si>
  <si>
    <t>TDRIVE4_2500ns</t>
  </si>
  <si>
    <t>TDRIVE1_2550ns</t>
  </si>
  <si>
    <t>TDRIVE2_2510ns</t>
  </si>
  <si>
    <t>TDRIVE3_2550ns</t>
  </si>
  <si>
    <t>TDRIVE4_2510ns</t>
  </si>
  <si>
    <t>TDRIVE1_2560ns</t>
  </si>
  <si>
    <t>TDRIVE2_2520ns</t>
  </si>
  <si>
    <t>TDRIVE3_2560ns</t>
  </si>
  <si>
    <t>TDRIVE4_2520ns</t>
  </si>
  <si>
    <t>TDRIVE1_2570ns</t>
  </si>
  <si>
    <t>TDRIVE2_2530ns</t>
  </si>
  <si>
    <t>TDRIVE3_2570ns</t>
  </si>
  <si>
    <t>TDRIVE4_2530ns</t>
  </si>
  <si>
    <t>TDRIVE1_2580ns</t>
  </si>
  <si>
    <t>TDRIVE2_2540ns</t>
  </si>
  <si>
    <t>TDRIVE3_2580ns</t>
  </si>
  <si>
    <t>TDRIVE4_2540ns</t>
  </si>
  <si>
    <t>TDRIVE1_2590ns</t>
  </si>
  <si>
    <t>TDRIVE2_2550ns</t>
  </si>
  <si>
    <t>TDRIVE3_2590ns</t>
  </si>
  <si>
    <t>TDRIVE4_2550ns</t>
  </si>
  <si>
    <t>PRECHAR_MODE_EN/
PRECHAR_MODE_DIS</t>
  </si>
  <si>
    <t>6EDL7141_CONFIG_MACRO</t>
  </si>
  <si>
    <t>I_PRE_SRC / I_PRE_SINK</t>
  </si>
  <si>
    <t>USER_GD_IHS_SRC</t>
  </si>
  <si>
    <t>USER_GD_IHS_SINK</t>
  </si>
  <si>
    <t>USER_GD_ILS_SRC</t>
  </si>
  <si>
    <t>USER_GD_ILS_SINK</t>
  </si>
  <si>
    <t>USER_GD_IPRE_SRC</t>
  </si>
  <si>
    <t>USER_GD_IPRE_SINK</t>
  </si>
  <si>
    <t>IHS_SRC/ILS_SRC/IHS_SINK/ILS_SINK</t>
  </si>
  <si>
    <t>TDRIVE1</t>
  </si>
  <si>
    <t>TDRIVE2</t>
  </si>
  <si>
    <t>TDRIVE3</t>
  </si>
  <si>
    <t>TDRIVE4</t>
  </si>
  <si>
    <t>Dead Time</t>
  </si>
  <si>
    <t>USER_GD_TDRIVE1</t>
  </si>
  <si>
    <t>USER_GD_TDRIVE2</t>
  </si>
  <si>
    <t>USER_GD_TDRIVE3</t>
  </si>
  <si>
    <t>USER_GD_TDRIVE4</t>
  </si>
  <si>
    <t>USER_GD_DT_RISE</t>
  </si>
  <si>
    <t>USER_GD_DT_FALL</t>
  </si>
  <si>
    <t>/*********6EDL7141 Gate Driver Configuration ************/</t>
  </si>
  <si>
    <t>INFO/Fixed</t>
  </si>
  <si>
    <t>/**
 * @file pmsm_foc_config.h
 * @date 15 Feb, 2023
 *
 * @cond
 *********************************************************************************************************************
 * PMSM FOC Motor Control Library
 *
 * Copyright (c) 2023, Infineon Technologies AG
 * All rights reserved.
 *
 * Redistribution and use in source and binary forms, with or without modification,are permitted provided that the
 * following conditions are met:
 *
 *   Redistributions of source code must retain the above copyright notice, this list of conditions and the  following
 *   disclaimer.
 *
 *   Redistributions in binary form must reproduce the above copyright notice, this list of conditions and the
 *   following disclaimer in the documentation and/or other materials provided with the distribution.
 *
 *   Neither the name of the copyright holders nor the names of its contributors may be used to endorse or promote
 *   products derived from this software without specific prior written permission.
 *
 * THIS SOFTWARE IS PROVIDED BY THE COPYRIGHT HOLDERS AND CONTRIBUTORS "AS IS" AND ANY EXPRESS OR IMPLIED WARRANTIES,
 * INCLUDING, BUT NOT LIMITED TO, THE IMPLIED WARRANTIES OF MERCHANTABILITY AND FITNESS FOR A PARTICULAR PURPOSE ARE
 * DISCLAIMED. IN NO EVENT SHALL THE COPYRIGHT HOLDER OR CONTRIBUTORS BE LIABLE  FOR ANY DIRECT, INDIRECT, INCIDENTAL,
 * SPECIAL, EXEMPLARY, OR CONSEQUENTIAL DAMAGES (INCLUDING, BUT NOT LIMITED TO, PROCUREMENT OF SUBSTITUTE GOODS OR
 * SERVICES; LOSS OF USE, DATA, OR PROFITS; OR BUSINESS INTERRUPTION) HOWEVER CAUSED AND ON ANY THEORY OF LIABILITY,
 * WHETHER IN CONTRACT, STRICT LIABILITY,OR TORT (INCLUDING NEGLIGENCE OR OTHERWISE) ARISING IN ANY WAY OUT  OF THE
 * USE OF THIS SOFTWARE, EVEN IF ADVISED OF THE POSSIBILITY OF SUCH DAMAGE.
 * @endcond
 ***********************************************************************************************************************/
#ifndef PMSM_FOC_CONFIG_H_
#define PMSM_FOC_CONFIG_H_
/*********************************************************************************************************************
 * HEADER FILES
 ********************************************************************************************************************/
#include "../Configuration/pmsm_foc_const.h"
/**
 * @addtogroup PMSM_FOC
 * @{
 */
/**
 * @addtogroup Configuration
 * @{
 */
/*********************************************************************************************************************
 * MACROS
 ********************************************************************************************************************/</t>
  </si>
  <si>
    <t>SAVE THIS FILE TO GENERATE CONFIGURATION FILE "pmsm_foc_config.h"</t>
  </si>
  <si>
    <t>GATE_DRIVER_IC_PROPOGATION_DELAY_US</t>
  </si>
  <si>
    <t>6EDL7141 MOSFET Slew Rate Controller</t>
  </si>
  <si>
    <t>VDC_ADC_TO_VOLTAGE</t>
  </si>
  <si>
    <t>VDC_ADC_TO_VOLTAGE_SCALE</t>
  </si>
  <si>
    <t>VDC_ADC_TO_mV</t>
  </si>
  <si>
    <t>VDC_ADC_TO_mV_SCALE</t>
  </si>
  <si>
    <t>CSOPAMP_GAIN</t>
  </si>
  <si>
    <t>GAIN</t>
  </si>
  <si>
    <t>CS_GAIN_4V</t>
  </si>
  <si>
    <t>CS_GAIN_8V</t>
  </si>
  <si>
    <t>CS_GAIN_12V</t>
  </si>
  <si>
    <t>CS_GAIN_16V</t>
  </si>
  <si>
    <t>CS_GAIN_20V</t>
  </si>
  <si>
    <t>CS_GAIN_24V</t>
  </si>
  <si>
    <t>CS_GAIN_32V</t>
  </si>
  <si>
    <t>CS_GAIN_64V</t>
  </si>
  <si>
    <t>USER_GD_CSOPAMP_GAIN</t>
  </si>
  <si>
    <t xml:space="preserve">Motor Speed Limit </t>
  </si>
  <si>
    <t>Configuration Category</t>
  </si>
  <si>
    <t>Motor</t>
  </si>
  <si>
    <t>Control Topology</t>
  </si>
  <si>
    <t>Protection</t>
  </si>
  <si>
    <t>HW/Inverter</t>
  </si>
  <si>
    <t>Device Access</t>
  </si>
  <si>
    <t>USER_PASSWORD</t>
  </si>
  <si>
    <t>/********* Device Access ************/</t>
  </si>
  <si>
    <t>USER_AUTHENTICATION_ID</t>
  </si>
  <si>
    <t xml:space="preserve">#define </t>
  </si>
  <si>
    <t>ADC_TRIGGER_DELAY</t>
  </si>
  <si>
    <t>CSOPAMP_SETTLING_TIME_US</t>
  </si>
  <si>
    <t>SVPWM_T_MIN</t>
  </si>
  <si>
    <t>SVPWM_T0_THRESHOLD</t>
  </si>
  <si>
    <t>VQ_RAMPUP_STEP</t>
  </si>
  <si>
    <t>level2</t>
  </si>
  <si>
    <t>level3</t>
  </si>
  <si>
    <t>USER_OCP_LEVELS_PROTECTION</t>
  </si>
  <si>
    <t>#if(USER_OCP_LEVELS_PROTECTION == ENABLED)</t>
  </si>
  <si>
    <t>USER_OCP_LEVEL_A</t>
  </si>
  <si>
    <t>USER_OCP_LEVEL_A_TIME</t>
  </si>
  <si>
    <t>USER_OCP_LEVEL_B</t>
  </si>
  <si>
    <t>USER_OCP_LEVEL_B_TIME</t>
  </si>
  <si>
    <t>USER_OCP_LEVEL_C</t>
  </si>
  <si>
    <t>USER_OCP_LEVEL_C_TIME</t>
  </si>
  <si>
    <t>#endif</t>
  </si>
  <si>
    <t>USER_DEAD_TIME_STALL_FLAG_COMPENSATION</t>
  </si>
  <si>
    <t>DEAD_TIME_STALL_FLAG_COMPENSATION</t>
  </si>
  <si>
    <t>DT_COMPENSATION_V_INT</t>
  </si>
  <si>
    <t>USER_DEAD_TIME_COMPENSATION_RATIO</t>
  </si>
  <si>
    <t>ADC_START_mV</t>
  </si>
  <si>
    <t>PRECHAR_MODE_EN</t>
  </si>
  <si>
    <t>HALL_RAD_PER_PWM_RES_INC_FACTOR</t>
  </si>
  <si>
    <t>HALL_CLK_PRE_SCALE</t>
  </si>
  <si>
    <t>HALL_RAD_PER_PWM_RES_INC_VALUE</t>
  </si>
  <si>
    <t>HALL_CLK_FREQ</t>
  </si>
  <si>
    <t>USER_ALIGNMENT_VREF_SLEWRATE</t>
  </si>
  <si>
    <t>USER_HALL_EDGE_COUNT</t>
  </si>
  <si>
    <t>USER_STALL_TIME_MS</t>
  </si>
  <si>
    <t>USER_STALL_COUNT</t>
  </si>
  <si>
    <t>KpHallPLL</t>
  </si>
  <si>
    <t>HALL_RAD_PER_PWM_RES_INC_FACTOR_SCALE</t>
  </si>
  <si>
    <t>dec 
(make sure it is less than 31!!!)</t>
  </si>
  <si>
    <t>mili-second</t>
  </si>
  <si>
    <t>#if(MOTOR_CTRL_SCHEME == PMSM_HALL_FOC)</t>
  </si>
  <si>
    <t>/*********Hall FOC macro definitions ************/</t>
  </si>
  <si>
    <t>Iq Torque Controller</t>
  </si>
  <si>
    <t>USER_IQ_CURRENT_ALLOWED_A</t>
  </si>
  <si>
    <t>IQ_REF_HIGH_LIMIT</t>
  </si>
  <si>
    <t>IQ_REF_LOW_LIMIT</t>
  </si>
  <si>
    <t>USER_IQ_RAMP_UP_STEP_A</t>
  </si>
  <si>
    <t>USER_IQ_RAMP_DOWN_STEP_A</t>
  </si>
  <si>
    <t>IQ_RAMP_UP_STEP</t>
  </si>
  <si>
    <t>IQ_RAMP_DOWN_STEP</t>
  </si>
  <si>
    <t>IQ_RAMP_STEP_TIME_FCL_COUNT</t>
  </si>
  <si>
    <t>/************* Torque Control Scheme ************************/</t>
  </si>
  <si>
    <t>TORQUE_CTRL</t>
  </si>
  <si>
    <t>VQ_VOLTAGE_CTRL
SPEED_INNER_CURRENT_CTRL
VF_OPEN_LOOP_CTRL
TORQUE_CTRL</t>
  </si>
  <si>
    <t>USER_IQ_REGEN_BRK_A</t>
  </si>
  <si>
    <t>rad/sec</t>
  </si>
  <si>
    <t>HALL_SEC__PWM_CYCLE_CONV</t>
  </si>
  <si>
    <t>USER_BOOTSTRAP_PRECHARGE_TIME_MS</t>
  </si>
  <si>
    <t>BOOTSTRAP_PRECHARGE_TIME</t>
  </si>
  <si>
    <t>USER_ROTOR_ZERO_DEG_ID_TIME_MS</t>
  </si>
  <si>
    <t>ROTOR_ZERO_DEG_ID_TIME_MS</t>
  </si>
  <si>
    <t>ROTOR_ZERO_DEG_ID_COUNT</t>
  </si>
  <si>
    <t>USER_ROTOR_ZERO_DEG_ID_SVPWM_REF_V</t>
  </si>
  <si>
    <t>ROTOR_ZERO_DEG_ID_SVPWM_REF</t>
  </si>
  <si>
    <t>ROTOR_ZERO_DEG_ID_RAMPUP_STEP</t>
  </si>
  <si>
    <t>USER_SYSTEM_IDLE_TIME_DELAY_mSec</t>
  </si>
  <si>
    <t>SYSTEM_IDLE_TIME_COUNT</t>
  </si>
  <si>
    <t>USER_IQ_REF_LOW_LIMIT_A</t>
  </si>
  <si>
    <t>E Bike</t>
  </si>
  <si>
    <t>Potentiometer Voltage Divider  - R1</t>
  </si>
  <si>
    <t>Potentiometer Voltage Divider  - R2</t>
  </si>
  <si>
    <t>E_ECO_SCALE_OF_T</t>
  </si>
  <si>
    <t>E_ECO_T_SCALEDUP</t>
  </si>
  <si>
    <t>E_NORMAL_SCALE_OF_T</t>
  </si>
  <si>
    <t>E_NORMAL_T_SCALEDUP</t>
  </si>
  <si>
    <t>E_SPORT_SCALE_OF_T</t>
  </si>
  <si>
    <t>E_SPORT_T_SCALEDUP</t>
  </si>
  <si>
    <t>/*********E Bike ************/</t>
  </si>
  <si>
    <t>Ω (ohm)</t>
  </si>
  <si>
    <t>Dec</t>
  </si>
  <si>
    <t>Nm</t>
  </si>
  <si>
    <t>V/Nm</t>
  </si>
  <si>
    <t>Bike Speed limit</t>
  </si>
  <si>
    <t>km/h</t>
  </si>
  <si>
    <t>Wheel radius</t>
  </si>
  <si>
    <t>m</t>
  </si>
  <si>
    <t>W</t>
  </si>
  <si>
    <t>INPUT_MAX_VOLTAGE_V (From Torque Sensor Spec)</t>
  </si>
  <si>
    <t>E_BIKE_IQ_RAMP_DOWN_STEP_A</t>
  </si>
  <si>
    <t>E_BIKE_IQ_RAMP_DOWN_STEP</t>
  </si>
  <si>
    <t>Max Power Limit</t>
  </si>
  <si>
    <t>E_BIKE_POWER_BASE</t>
  </si>
  <si>
    <t>E_BIKE_SPEED_LIMIT_RAD_S</t>
  </si>
  <si>
    <t>rad/s</t>
  </si>
  <si>
    <t>2^31</t>
  </si>
  <si>
    <t>E_BIKE_POWER_RAW_SCALE_UP</t>
  </si>
  <si>
    <t>E_BIKE_SPEED_LIMIT_RPM</t>
  </si>
  <si>
    <t>Gear ratio Motor to Wheel (Out/IN gear)</t>
  </si>
  <si>
    <t>E_BIKE_RAMP_STEP_TIME_FCL_COUNT</t>
  </si>
  <si>
    <t>E_BIKE_REF</t>
  </si>
  <si>
    <t>E_BIKE_FUNCTION_ENABLE</t>
  </si>
  <si>
    <t>Moving Average Window Size</t>
  </si>
  <si>
    <t>WINDOW_SIZE</t>
  </si>
  <si>
    <t>Vp/rad-s</t>
  </si>
  <si>
    <t>BEMF/Torque Constant, Kt</t>
  </si>
  <si>
    <t>Eco_torque_rampup_gain, K_gain</t>
  </si>
  <si>
    <t>Normal_torque_rampup_gain, K_gain</t>
  </si>
  <si>
    <t>Sport_torque_rampup_gain, K_gain</t>
  </si>
  <si>
    <t>raw</t>
  </si>
  <si>
    <t>A/PWM cycle</t>
  </si>
  <si>
    <t>A/Sec</t>
  </si>
  <si>
    <t>E_BIKE_IQ_RAMP_DOWN_STEP_A_SEC</t>
  </si>
  <si>
    <t>WINDOW_SIZE_DIV_SCALE</t>
  </si>
  <si>
    <t>Brake Minimun Speed</t>
  </si>
  <si>
    <t>USER_BRAKE_MIN_SPEED</t>
  </si>
  <si>
    <t>BRAKE_MIN_SPEED</t>
  </si>
  <si>
    <t>Ramp down during Brake ON</t>
  </si>
  <si>
    <t>USER_MOTOR_SPEED_HIGH_LIMIT_RPM_INPUT</t>
  </si>
  <si>
    <t>charge pump configuration adding above this row here</t>
  </si>
  <si>
    <t>Charge Pump Freq</t>
  </si>
  <si>
    <t>CP_CLK_781_25kHz</t>
  </si>
  <si>
    <t>CP_CLK_390_625kHz</t>
  </si>
  <si>
    <t>CP_CLK_195_3125kHz</t>
  </si>
  <si>
    <t>CP_CLK_1562_5kHz</t>
  </si>
  <si>
    <t>USER_CP_CLK_FREQ_kHz</t>
  </si>
  <si>
    <t xml:space="preserve">USER_CP_CLK_FREQ_kHz </t>
  </si>
  <si>
    <t>USER_CP_CLK_SS_EN_DIS</t>
  </si>
  <si>
    <t>Charge pump clock spread spectrum
ENABLED/DISABLED</t>
  </si>
  <si>
    <t>CP_CLK_SS_EN</t>
  </si>
  <si>
    <t>CP_CLK_SS_DIS</t>
  </si>
  <si>
    <t>CP clock spread spectrum</t>
  </si>
  <si>
    <t>Charge pump clock frequency configuration
781.25kHz/390.625kHz/
195.3125kHz/1.5625MHz</t>
  </si>
  <si>
    <t>P_MAX - 250W Power line</t>
  </si>
  <si>
    <t>Voltage to Torque Coefficient, K_VT</t>
  </si>
  <si>
    <t>INPUT_TORQUE_MAX_NM (From Torque Sensor Spec), T_NM</t>
  </si>
  <si>
    <t>MAX_POWER_LIMIT_EN_DIS</t>
  </si>
  <si>
    <t>MAX_ASSIST_TORQUE_LIMIT_EN_DIS</t>
  </si>
  <si>
    <t>PVCC_15V</t>
  </si>
  <si>
    <t>Max Power</t>
  </si>
  <si>
    <t>Hall Sensor Offset Compensation</t>
  </si>
  <si>
    <t>Hall Parameters</t>
  </si>
  <si>
    <t>electrical deg</t>
  </si>
  <si>
    <t>HALL_OFFSET_COMPENSATION_ANGLE_INIT</t>
  </si>
  <si>
    <t>DEC</t>
  </si>
  <si>
    <t>KpHallPLL_SCALE</t>
  </si>
  <si>
    <t>KpHallPLL_DEC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</si>
</sst>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i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indexed="9"/>
      <name val="Calibri"/>
      <family val="2"/>
    </font>
    <font>
      <sz val="8"/>
      <color indexed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Symbol"/>
      <family val="1"/>
      <charset val="2"/>
    </font>
    <font>
      <b/>
      <vertAlign val="superscript"/>
      <sz val="10"/>
      <name val="Arial"/>
      <family val="2"/>
    </font>
    <font>
      <sz val="10"/>
      <name val="Symbol"/>
      <family val="1"/>
      <charset val="2"/>
    </font>
    <font>
      <sz val="11"/>
      <name val="Calibri"/>
      <family val="2"/>
    </font>
    <font>
      <b/>
      <sz val="11"/>
      <name val="Calibri"/>
      <family val="2"/>
      <scheme val="minor"/>
    </font>
    <font>
      <b/>
      <vertAlign val="superscript"/>
      <sz val="9"/>
      <name val="Arial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center" vertical="center"/>
      <protection locked="0"/>
    </xf>
    <xf numFmtId="164" fontId="0" fillId="2" borderId="2" xfId="0" applyNumberFormat="1" applyFill="1" applyBorder="1" applyAlignment="1" applyProtection="1">
      <alignment horizontal="center" vertical="center"/>
      <protection locked="0"/>
    </xf>
    <xf numFmtId="0" fontId="7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2" borderId="2" xfId="0" applyNumberFormat="1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2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0" fillId="3" borderId="0" xfId="0" applyFill="1"/>
    <xf numFmtId="0" fontId="2" fillId="3" borderId="0" xfId="0" applyFont="1" applyFill="1"/>
    <xf numFmtId="0" fontId="0" fillId="3" borderId="5" xfId="0" applyFill="1" applyBorder="1"/>
    <xf numFmtId="0" fontId="1" fillId="3" borderId="5" xfId="0" applyFont="1" applyFill="1" applyBorder="1"/>
    <xf numFmtId="0" fontId="0" fillId="0" borderId="0" xfId="0" applyAlignment="1" applyProtection="1">
      <alignment horizontal="center" vertical="center"/>
      <protection hidden="1"/>
    </xf>
    <xf numFmtId="0" fontId="0" fillId="4" borderId="0" xfId="0" applyFill="1"/>
    <xf numFmtId="0" fontId="2" fillId="0" borderId="0" xfId="0" applyFont="1"/>
    <xf numFmtId="0" fontId="4" fillId="0" borderId="0" xfId="0" applyFont="1" applyAlignment="1">
      <alignment horizontal="left" vertical="center"/>
    </xf>
    <xf numFmtId="166" fontId="0" fillId="0" borderId="0" xfId="0" applyNumberFormat="1"/>
    <xf numFmtId="0" fontId="0" fillId="0" borderId="5" xfId="0" applyBorder="1"/>
    <xf numFmtId="0" fontId="0" fillId="0" borderId="16" xfId="0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1" fillId="3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0" fillId="5" borderId="0" xfId="0" applyFill="1" applyAlignment="1" applyProtection="1">
      <alignment horizontal="right" vertical="center"/>
      <protection hidden="1"/>
    </xf>
    <xf numFmtId="0" fontId="0" fillId="5" borderId="0" xfId="0" applyFill="1" applyAlignment="1">
      <alignment vertical="center"/>
    </xf>
    <xf numFmtId="0" fontId="0" fillId="5" borderId="1" xfId="0" applyFill="1" applyBorder="1" applyAlignment="1">
      <alignment horizontal="left" vertical="center"/>
    </xf>
    <xf numFmtId="165" fontId="0" fillId="5" borderId="2" xfId="0" applyNumberFormat="1" applyFill="1" applyBorder="1" applyAlignment="1" applyProtection="1">
      <alignment vertical="center"/>
      <protection hidden="1"/>
    </xf>
    <xf numFmtId="0" fontId="0" fillId="5" borderId="3" xfId="0" applyFill="1" applyBorder="1" applyAlignment="1">
      <alignment vertical="center"/>
    </xf>
    <xf numFmtId="0" fontId="4" fillId="5" borderId="4" xfId="0" applyFont="1" applyFill="1" applyBorder="1" applyAlignment="1">
      <alignment horizontal="left" vertical="center"/>
    </xf>
    <xf numFmtId="165" fontId="0" fillId="5" borderId="5" xfId="0" applyNumberFormat="1" applyFill="1" applyBorder="1" applyAlignment="1" applyProtection="1">
      <alignment vertical="center"/>
      <protection hidden="1"/>
    </xf>
    <xf numFmtId="0" fontId="0" fillId="5" borderId="10" xfId="0" applyFill="1" applyBorder="1" applyAlignment="1">
      <alignment vertical="center"/>
    </xf>
    <xf numFmtId="0" fontId="0" fillId="5" borderId="4" xfId="0" applyFill="1" applyBorder="1"/>
    <xf numFmtId="0" fontId="0" fillId="5" borderId="5" xfId="0" applyFill="1" applyBorder="1"/>
    <xf numFmtId="0" fontId="0" fillId="5" borderId="1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4" fillId="5" borderId="1" xfId="0" applyFont="1" applyFill="1" applyBorder="1" applyAlignment="1">
      <alignment horizontal="left" vertical="center"/>
    </xf>
    <xf numFmtId="165" fontId="0" fillId="5" borderId="2" xfId="0" applyNumberFormat="1" applyFill="1" applyBorder="1" applyAlignment="1" applyProtection="1">
      <alignment horizontal="right" vertical="center"/>
      <protection hidden="1"/>
    </xf>
    <xf numFmtId="0" fontId="4" fillId="5" borderId="6" xfId="0" applyFont="1" applyFill="1" applyBorder="1" applyAlignment="1">
      <alignment horizontal="left" vertical="center"/>
    </xf>
    <xf numFmtId="165" fontId="4" fillId="5" borderId="7" xfId="0" applyNumberFormat="1" applyFont="1" applyFill="1" applyBorder="1" applyAlignment="1" applyProtection="1">
      <alignment horizontal="right" vertical="center"/>
      <protection hidden="1"/>
    </xf>
    <xf numFmtId="0" fontId="0" fillId="5" borderId="8" xfId="0" applyFill="1" applyBorder="1" applyAlignment="1">
      <alignment vertical="center"/>
    </xf>
    <xf numFmtId="165" fontId="0" fillId="5" borderId="7" xfId="0" applyNumberFormat="1" applyFill="1" applyBorder="1" applyAlignment="1" applyProtection="1">
      <alignment horizontal="right" vertical="center"/>
      <protection hidden="1"/>
    </xf>
    <xf numFmtId="2" fontId="0" fillId="0" borderId="0" xfId="0" applyNumberFormat="1" applyAlignment="1" applyProtection="1">
      <alignment horizontal="center" vertical="center"/>
      <protection locked="0"/>
    </xf>
    <xf numFmtId="2" fontId="0" fillId="2" borderId="2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2" borderId="7" xfId="0" applyNumberForma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/>
    </xf>
    <xf numFmtId="0" fontId="0" fillId="3" borderId="7" xfId="0" applyFill="1" applyBorder="1" applyAlignment="1" applyProtection="1">
      <alignment horizontal="center"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0" fillId="3" borderId="5" xfId="0" applyNumberFormat="1" applyFill="1" applyBorder="1"/>
    <xf numFmtId="2" fontId="7" fillId="2" borderId="5" xfId="0" applyNumberFormat="1" applyFont="1" applyFill="1" applyBorder="1" applyAlignment="1">
      <alignment horizontal="center" vertic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0" borderId="0" xfId="0" applyFont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2" fontId="0" fillId="2" borderId="2" xfId="0" applyNumberFormat="1" applyFill="1" applyBorder="1" applyAlignment="1" applyProtection="1">
      <alignment horizontal="center" vertical="center"/>
      <protection locked="0"/>
    </xf>
    <xf numFmtId="2" fontId="0" fillId="2" borderId="7" xfId="0" applyNumberFormat="1" applyFill="1" applyBorder="1" applyAlignment="1" applyProtection="1">
      <alignment horizontal="center" vertical="center"/>
      <protection locked="0"/>
    </xf>
    <xf numFmtId="1" fontId="0" fillId="2" borderId="5" xfId="0" applyNumberFormat="1" applyFill="1" applyBorder="1" applyAlignment="1" applyProtection="1">
      <alignment horizontal="center" vertical="center"/>
      <protection locked="0"/>
    </xf>
    <xf numFmtId="2" fontId="0" fillId="2" borderId="15" xfId="0" applyNumberFormat="1" applyFill="1" applyBorder="1" applyAlignment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  <protection locked="0"/>
    </xf>
    <xf numFmtId="165" fontId="0" fillId="2" borderId="7" xfId="0" applyNumberFormat="1" applyFill="1" applyBorder="1" applyAlignment="1" applyProtection="1">
      <alignment horizontal="center" vertical="center"/>
      <protection locked="0"/>
    </xf>
    <xf numFmtId="0" fontId="0" fillId="0" borderId="9" xfId="0" applyBorder="1" applyAlignment="1">
      <alignment horizontal="center"/>
    </xf>
    <xf numFmtId="165" fontId="0" fillId="5" borderId="0" xfId="0" applyNumberFormat="1" applyFill="1" applyAlignment="1" applyProtection="1">
      <alignment horizontal="right" vertical="center"/>
      <protection hidden="1"/>
    </xf>
    <xf numFmtId="0" fontId="0" fillId="0" borderId="9" xfId="0" applyBorder="1" applyAlignment="1">
      <alignment horizontal="center" vertical="center" wrapText="1"/>
    </xf>
    <xf numFmtId="1" fontId="0" fillId="2" borderId="15" xfId="0" applyNumberFormat="1" applyFill="1" applyBorder="1" applyAlignment="1" applyProtection="1">
      <alignment horizontal="center" vertical="center"/>
      <protection locked="0"/>
    </xf>
    <xf numFmtId="2" fontId="0" fillId="2" borderId="15" xfId="0" applyNumberFormat="1" applyFill="1" applyBorder="1" applyAlignment="1" applyProtection="1">
      <alignment horizontal="center" vertical="center"/>
      <protection locked="0"/>
    </xf>
    <xf numFmtId="0" fontId="0" fillId="0" borderId="10" xfId="0" applyBorder="1" applyAlignment="1">
      <alignment horizontal="center" vertical="center" wrapText="1"/>
    </xf>
    <xf numFmtId="0" fontId="4" fillId="5" borderId="14" xfId="0" applyFont="1" applyFill="1" applyBorder="1" applyAlignment="1">
      <alignment horizontal="left" vertical="center"/>
    </xf>
    <xf numFmtId="165" fontId="0" fillId="5" borderId="15" xfId="0" applyNumberFormat="1" applyFill="1" applyBorder="1" applyAlignment="1" applyProtection="1">
      <alignment horizontal="right" vertical="center"/>
      <protection hidden="1"/>
    </xf>
    <xf numFmtId="0" fontId="0" fillId="5" borderId="9" xfId="0" applyFill="1" applyBorder="1" applyAlignment="1">
      <alignment vertical="center"/>
    </xf>
    <xf numFmtId="167" fontId="7" fillId="2" borderId="5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5" borderId="5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2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49" fontId="7" fillId="2" borderId="15" xfId="0" applyNumberFormat="1" applyFont="1" applyFill="1" applyBorder="1" applyAlignment="1">
      <alignment horizontal="center" vertical="center"/>
    </xf>
    <xf numFmtId="167" fontId="7" fillId="2" borderId="2" xfId="0" applyNumberFormat="1" applyFont="1" applyFill="1" applyBorder="1" applyAlignment="1">
      <alignment horizontal="center" vertical="center"/>
    </xf>
    <xf numFmtId="167" fontId="7" fillId="2" borderId="7" xfId="0" applyNumberFormat="1" applyFont="1" applyFill="1" applyBorder="1" applyAlignment="1">
      <alignment horizontal="center" vertical="center"/>
    </xf>
    <xf numFmtId="164" fontId="7" fillId="2" borderId="7" xfId="0" applyNumberFormat="1" applyFont="1" applyFill="1" applyBorder="1" applyAlignment="1">
      <alignment horizontal="center" vertical="center"/>
    </xf>
    <xf numFmtId="2" fontId="7" fillId="2" borderId="2" xfId="0" applyNumberFormat="1" applyFont="1" applyFill="1" applyBorder="1" applyAlignment="1">
      <alignment horizontal="center" vertical="center"/>
    </xf>
    <xf numFmtId="165" fontId="0" fillId="2" borderId="5" xfId="0" applyNumberForma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0" borderId="20" xfId="0" applyBorder="1"/>
    <xf numFmtId="165" fontId="0" fillId="2" borderId="18" xfId="0" applyNumberFormat="1" applyFill="1" applyBorder="1" applyAlignment="1" applyProtection="1">
      <alignment horizontal="center" vertical="center"/>
      <protection locked="0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2" fillId="6" borderId="21" xfId="0" applyFont="1" applyFill="1" applyBorder="1"/>
    <xf numFmtId="0" fontId="2" fillId="6" borderId="22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6" borderId="5" xfId="0" applyFill="1" applyBorder="1"/>
    <xf numFmtId="1" fontId="0" fillId="6" borderId="5" xfId="0" applyNumberFormat="1" applyFill="1" applyBorder="1"/>
    <xf numFmtId="0" fontId="0" fillId="6" borderId="0" xfId="0" applyFill="1"/>
    <xf numFmtId="1" fontId="0" fillId="6" borderId="0" xfId="0" applyNumberFormat="1" applyFill="1"/>
    <xf numFmtId="0" fontId="0" fillId="6" borderId="0" xfId="0" applyFill="1" applyAlignment="1" applyProtection="1">
      <alignment horizontal="right" vertical="center"/>
      <protection hidden="1"/>
    </xf>
    <xf numFmtId="0" fontId="0" fillId="6" borderId="0" xfId="0" applyFill="1" applyAlignment="1">
      <alignment vertical="center"/>
    </xf>
    <xf numFmtId="0" fontId="0" fillId="6" borderId="1" xfId="0" applyFill="1" applyBorder="1"/>
    <xf numFmtId="1" fontId="0" fillId="6" borderId="2" xfId="0" applyNumberFormat="1" applyFill="1" applyBorder="1" applyAlignment="1" applyProtection="1">
      <alignment horizontal="right" vertical="center"/>
      <protection hidden="1"/>
    </xf>
    <xf numFmtId="0" fontId="0" fillId="6" borderId="3" xfId="0" applyFill="1" applyBorder="1" applyAlignment="1">
      <alignment vertical="center"/>
    </xf>
    <xf numFmtId="0" fontId="0" fillId="6" borderId="4" xfId="0" applyFill="1" applyBorder="1"/>
    <xf numFmtId="0" fontId="0" fillId="6" borderId="5" xfId="0" applyFill="1" applyBorder="1" applyAlignment="1" applyProtection="1">
      <alignment horizontal="right" vertical="center"/>
      <protection hidden="1"/>
    </xf>
    <xf numFmtId="0" fontId="0" fillId="6" borderId="10" xfId="0" applyFill="1" applyBorder="1" applyAlignment="1">
      <alignment vertical="center"/>
    </xf>
    <xf numFmtId="0" fontId="0" fillId="6" borderId="6" xfId="0" applyFill="1" applyBorder="1"/>
    <xf numFmtId="0" fontId="0" fillId="6" borderId="7" xfId="0" applyFill="1" applyBorder="1" applyAlignment="1" applyProtection="1">
      <alignment horizontal="right" vertical="center"/>
      <protection hidden="1"/>
    </xf>
    <xf numFmtId="0" fontId="0" fillId="6" borderId="8" xfId="0" applyFill="1" applyBorder="1" applyAlignment="1">
      <alignment vertical="center"/>
    </xf>
    <xf numFmtId="0" fontId="0" fillId="6" borderId="2" xfId="0" applyFill="1" applyBorder="1" applyAlignment="1" applyProtection="1">
      <alignment horizontal="right" vertical="center"/>
      <protection hidden="1"/>
    </xf>
    <xf numFmtId="1" fontId="0" fillId="6" borderId="5" xfId="0" applyNumberFormat="1" applyFill="1" applyBorder="1" applyAlignment="1" applyProtection="1">
      <alignment horizontal="right" vertical="center"/>
      <protection hidden="1"/>
    </xf>
    <xf numFmtId="0" fontId="0" fillId="6" borderId="2" xfId="0" applyFill="1" applyBorder="1"/>
    <xf numFmtId="0" fontId="0" fillId="6" borderId="3" xfId="0" applyFill="1" applyBorder="1"/>
    <xf numFmtId="0" fontId="0" fillId="6" borderId="10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2" fillId="6" borderId="0" xfId="0" applyFont="1" applyFill="1"/>
    <xf numFmtId="0" fontId="4" fillId="6" borderId="1" xfId="0" applyFont="1" applyFill="1" applyBorder="1" applyAlignment="1">
      <alignment horizontal="left" vertical="center"/>
    </xf>
    <xf numFmtId="1" fontId="0" fillId="6" borderId="2" xfId="0" applyNumberFormat="1" applyFill="1" applyBorder="1" applyAlignment="1" applyProtection="1">
      <alignment vertical="center"/>
      <protection hidden="1"/>
    </xf>
    <xf numFmtId="0" fontId="4" fillId="6" borderId="6" xfId="0" applyFont="1" applyFill="1" applyBorder="1" applyAlignment="1">
      <alignment horizontal="left" vertical="center"/>
    </xf>
    <xf numFmtId="1" fontId="0" fillId="6" borderId="7" xfId="0" applyNumberFormat="1" applyFill="1" applyBorder="1" applyAlignment="1" applyProtection="1">
      <alignment vertical="center"/>
      <protection hidden="1"/>
    </xf>
    <xf numFmtId="0" fontId="4" fillId="6" borderId="0" xfId="0" applyFont="1" applyFill="1" applyAlignment="1">
      <alignment horizontal="left" vertical="center"/>
    </xf>
    <xf numFmtId="1" fontId="0" fillId="6" borderId="0" xfId="0" applyNumberFormat="1" applyFill="1" applyAlignment="1" applyProtection="1">
      <alignment vertical="center"/>
      <protection hidden="1"/>
    </xf>
    <xf numFmtId="0" fontId="3" fillId="6" borderId="0" xfId="0" applyFont="1" applyFill="1" applyAlignment="1">
      <alignment horizontal="left" vertical="center"/>
    </xf>
    <xf numFmtId="0" fontId="4" fillId="6" borderId="4" xfId="0" applyFont="1" applyFill="1" applyBorder="1" applyAlignment="1">
      <alignment horizontal="left" vertical="center"/>
    </xf>
    <xf numFmtId="1" fontId="0" fillId="6" borderId="5" xfId="0" applyNumberFormat="1" applyFill="1" applyBorder="1" applyAlignment="1" applyProtection="1">
      <alignment vertical="center"/>
      <protection hidden="1"/>
    </xf>
    <xf numFmtId="1" fontId="0" fillId="6" borderId="2" xfId="0" applyNumberFormat="1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1" fontId="0" fillId="6" borderId="18" xfId="0" applyNumberFormat="1" applyFill="1" applyBorder="1"/>
    <xf numFmtId="1" fontId="0" fillId="6" borderId="7" xfId="0" applyNumberFormat="1" applyFill="1" applyBorder="1"/>
    <xf numFmtId="0" fontId="0" fillId="3" borderId="7" xfId="0" applyFill="1" applyBorder="1" applyAlignment="1">
      <alignment horizontal="center"/>
    </xf>
    <xf numFmtId="0" fontId="0" fillId="6" borderId="29" xfId="0" applyFill="1" applyBorder="1"/>
    <xf numFmtId="0" fontId="0" fillId="6" borderId="30" xfId="0" applyFill="1" applyBorder="1"/>
    <xf numFmtId="0" fontId="0" fillId="6" borderId="31" xfId="0" applyFill="1" applyBorder="1"/>
    <xf numFmtId="0" fontId="2" fillId="6" borderId="14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4" fillId="0" borderId="32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0" fillId="0" borderId="32" xfId="0" applyBorder="1"/>
    <xf numFmtId="0" fontId="0" fillId="0" borderId="33" xfId="0" applyBorder="1"/>
    <xf numFmtId="0" fontId="0" fillId="0" borderId="36" xfId="0" applyBorder="1"/>
    <xf numFmtId="0" fontId="0" fillId="0" borderId="32" xfId="0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165" fontId="0" fillId="3" borderId="5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/>
    <xf numFmtId="0" fontId="0" fillId="0" borderId="17" xfId="0" applyBorder="1" applyAlignment="1">
      <alignment horizontal="left" vertical="center"/>
    </xf>
    <xf numFmtId="165" fontId="0" fillId="3" borderId="7" xfId="0" applyNumberFormat="1" applyFill="1" applyBorder="1" applyAlignment="1" applyProtection="1">
      <alignment horizontal="center" vertical="center"/>
      <protection locked="0"/>
    </xf>
    <xf numFmtId="0" fontId="0" fillId="0" borderId="4" xfId="0" applyBorder="1"/>
    <xf numFmtId="0" fontId="0" fillId="8" borderId="5" xfId="0" applyFill="1" applyBorder="1" applyAlignment="1">
      <alignment horizontal="center"/>
    </xf>
    <xf numFmtId="0" fontId="0" fillId="8" borderId="2" xfId="0" applyFill="1" applyBorder="1"/>
    <xf numFmtId="0" fontId="0" fillId="8" borderId="7" xfId="0" applyFill="1" applyBorder="1"/>
    <xf numFmtId="0" fontId="0" fillId="4" borderId="5" xfId="0" applyFill="1" applyBorder="1"/>
    <xf numFmtId="0" fontId="7" fillId="9" borderId="15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/>
    <xf numFmtId="0" fontId="0" fillId="4" borderId="40" xfId="0" applyFill="1" applyBorder="1"/>
    <xf numFmtId="0" fontId="0" fillId="4" borderId="41" xfId="0" applyFill="1" applyBorder="1"/>
    <xf numFmtId="0" fontId="0" fillId="4" borderId="42" xfId="0" applyFill="1" applyBorder="1" applyAlignment="1">
      <alignment vertical="center"/>
    </xf>
    <xf numFmtId="0" fontId="0" fillId="4" borderId="43" xfId="0" applyFill="1" applyBorder="1"/>
    <xf numFmtId="0" fontId="0" fillId="4" borderId="44" xfId="0" applyFill="1" applyBorder="1"/>
    <xf numFmtId="0" fontId="0" fillId="4" borderId="44" xfId="0" applyFill="1" applyBorder="1" applyAlignment="1">
      <alignment vertical="center"/>
    </xf>
    <xf numFmtId="0" fontId="0" fillId="4" borderId="44" xfId="0" applyFill="1" applyBorder="1" applyAlignment="1">
      <alignment wrapText="1"/>
    </xf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10" xfId="0" applyFill="1" applyBorder="1"/>
    <xf numFmtId="0" fontId="0" fillId="10" borderId="0" xfId="0" applyFill="1"/>
    <xf numFmtId="0" fontId="0" fillId="10" borderId="45" xfId="0" applyFill="1" applyBorder="1"/>
    <xf numFmtId="0" fontId="0" fillId="10" borderId="38" xfId="0" applyFill="1" applyBorder="1"/>
    <xf numFmtId="0" fontId="0" fillId="10" borderId="39" xfId="0" applyFill="1" applyBorder="1"/>
    <xf numFmtId="0" fontId="0" fillId="0" borderId="7" xfId="0" applyBorder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38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1" fontId="0" fillId="2" borderId="0" xfId="0" applyNumberFormat="1" applyFill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17" xfId="0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64" fontId="0" fillId="2" borderId="5" xfId="0" applyNumberFormat="1" applyFill="1" applyBorder="1" applyAlignment="1" applyProtection="1">
      <alignment horizontal="center" vertical="center"/>
      <protection locked="0"/>
    </xf>
    <xf numFmtId="4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49" xfId="0" applyBorder="1"/>
    <xf numFmtId="0" fontId="7" fillId="0" borderId="5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49" xfId="0" applyFont="1" applyBorder="1"/>
    <xf numFmtId="0" fontId="7" fillId="2" borderId="1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7" xfId="0" applyBorder="1"/>
    <xf numFmtId="0" fontId="0" fillId="0" borderId="18" xfId="0" applyBorder="1"/>
    <xf numFmtId="0" fontId="0" fillId="0" borderId="38" xfId="0" applyBorder="1"/>
    <xf numFmtId="164" fontId="0" fillId="2" borderId="38" xfId="0" applyNumberFormat="1" applyFill="1" applyBorder="1" applyAlignment="1" applyProtection="1">
      <alignment horizontal="center" vertical="center"/>
      <protection locked="0"/>
    </xf>
    <xf numFmtId="0" fontId="0" fillId="0" borderId="39" xfId="0" applyBorder="1" applyAlignment="1">
      <alignment horizontal="center" vertical="center"/>
    </xf>
    <xf numFmtId="0" fontId="0" fillId="6" borderId="38" xfId="0" applyFill="1" applyBorder="1"/>
    <xf numFmtId="0" fontId="4" fillId="0" borderId="48" xfId="0" applyFont="1" applyBorder="1" applyAlignment="1">
      <alignment horizontal="left" vertical="center"/>
    </xf>
    <xf numFmtId="1" fontId="0" fillId="2" borderId="52" xfId="0" applyNumberFormat="1" applyFill="1" applyBorder="1" applyAlignment="1" applyProtection="1">
      <alignment horizontal="center" vertical="center"/>
      <protection locked="0"/>
    </xf>
    <xf numFmtId="0" fontId="0" fillId="0" borderId="58" xfId="0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165" fontId="4" fillId="5" borderId="0" xfId="0" applyNumberFormat="1" applyFont="1" applyFill="1" applyAlignment="1" applyProtection="1">
      <alignment horizontal="right" vertical="center"/>
      <protection hidden="1"/>
    </xf>
    <xf numFmtId="0" fontId="0" fillId="3" borderId="5" xfId="0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0" fontId="1" fillId="0" borderId="0" xfId="0" applyFont="1"/>
    <xf numFmtId="0" fontId="0" fillId="0" borderId="17" xfId="0" applyBorder="1" applyAlignment="1">
      <alignment horizontal="left" vertical="center" wrapText="1"/>
    </xf>
    <xf numFmtId="0" fontId="0" fillId="0" borderId="49" xfId="0" applyBorder="1" applyAlignment="1">
      <alignment horizontal="left" vertical="center"/>
    </xf>
    <xf numFmtId="0" fontId="0" fillId="6" borderId="59" xfId="0" applyFill="1" applyBorder="1"/>
    <xf numFmtId="0" fontId="0" fillId="6" borderId="60" xfId="0" applyFill="1" applyBorder="1"/>
    <xf numFmtId="0" fontId="0" fillId="6" borderId="50" xfId="0" applyFill="1" applyBorder="1"/>
    <xf numFmtId="0" fontId="0" fillId="6" borderId="20" xfId="0" applyFill="1" applyBorder="1"/>
    <xf numFmtId="0" fontId="0" fillId="6" borderId="49" xfId="0" applyFill="1" applyBorder="1"/>
    <xf numFmtId="0" fontId="0" fillId="6" borderId="48" xfId="0" applyFill="1" applyBorder="1"/>
    <xf numFmtId="0" fontId="0" fillId="6" borderId="61" xfId="0" applyFill="1" applyBorder="1"/>
    <xf numFmtId="0" fontId="0" fillId="6" borderId="51" xfId="0" applyFill="1" applyBorder="1"/>
    <xf numFmtId="0" fontId="0" fillId="6" borderId="62" xfId="0" applyFill="1" applyBorder="1"/>
    <xf numFmtId="0" fontId="2" fillId="0" borderId="58" xfId="0" applyFont="1" applyBorder="1"/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" xfId="0" applyBorder="1"/>
    <xf numFmtId="165" fontId="0" fillId="3" borderId="7" xfId="0" applyNumberFormat="1" applyFill="1" applyBorder="1" applyAlignment="1" applyProtection="1">
      <alignment horizontal="center" vertical="center"/>
      <protection hidden="1"/>
    </xf>
    <xf numFmtId="0" fontId="0" fillId="4" borderId="45" xfId="0" applyFill="1" applyBorder="1"/>
    <xf numFmtId="0" fontId="0" fillId="4" borderId="39" xfId="0" applyFill="1" applyBorder="1"/>
    <xf numFmtId="0" fontId="0" fillId="11" borderId="5" xfId="0" applyFill="1" applyBorder="1"/>
    <xf numFmtId="0" fontId="0" fillId="11" borderId="46" xfId="0" applyFill="1" applyBorder="1"/>
    <xf numFmtId="0" fontId="0" fillId="11" borderId="38" xfId="0" applyFill="1" applyBorder="1"/>
    <xf numFmtId="0" fontId="0" fillId="11" borderId="47" xfId="0" applyFill="1" applyBorder="1"/>
    <xf numFmtId="0" fontId="0" fillId="11" borderId="0" xfId="0" applyFill="1"/>
    <xf numFmtId="1" fontId="0" fillId="11" borderId="0" xfId="0" applyNumberFormat="1" applyFill="1" applyAlignment="1">
      <alignment horizontal="center"/>
    </xf>
    <xf numFmtId="0" fontId="18" fillId="7" borderId="53" xfId="0" applyFont="1" applyFill="1" applyBorder="1" applyAlignment="1">
      <alignment horizontal="center" vertical="center"/>
    </xf>
    <xf numFmtId="0" fontId="18" fillId="7" borderId="37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/>
    </xf>
    <xf numFmtId="0" fontId="18" fillId="7" borderId="22" xfId="0" applyFont="1" applyFill="1" applyBorder="1" applyAlignment="1">
      <alignment horizontal="center" vertical="center"/>
    </xf>
    <xf numFmtId="0" fontId="18" fillId="7" borderId="34" xfId="0" applyFont="1" applyFill="1" applyBorder="1" applyAlignment="1">
      <alignment horizontal="center" vertical="center"/>
    </xf>
    <xf numFmtId="0" fontId="18" fillId="7" borderId="55" xfId="0" applyFont="1" applyFill="1" applyBorder="1" applyAlignment="1">
      <alignment horizontal="center" vertical="center"/>
    </xf>
    <xf numFmtId="0" fontId="18" fillId="7" borderId="35" xfId="0" applyFont="1" applyFill="1" applyBorder="1" applyAlignment="1">
      <alignment horizontal="center" vertical="center"/>
    </xf>
    <xf numFmtId="0" fontId="0" fillId="6" borderId="60" xfId="0" applyFill="1" applyBorder="1" applyAlignment="1">
      <alignment horizontal="center"/>
    </xf>
    <xf numFmtId="0" fontId="0" fillId="6" borderId="50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49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61" xfId="0" applyFill="1" applyBorder="1" applyAlignment="1">
      <alignment horizontal="center"/>
    </xf>
    <xf numFmtId="0" fontId="0" fillId="6" borderId="51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6" borderId="64" xfId="0" applyFill="1" applyBorder="1" applyAlignment="1">
      <alignment horizontal="center"/>
    </xf>
    <xf numFmtId="0" fontId="0" fillId="6" borderId="63" xfId="0" applyFill="1" applyBorder="1" applyAlignment="1">
      <alignment horizontal="center"/>
    </xf>
    <xf numFmtId="0" fontId="0" fillId="6" borderId="20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85725</xdr:colOff>
      <xdr:row>29</xdr:row>
      <xdr:rowOff>19050</xdr:rowOff>
    </xdr:from>
    <xdr:to>
      <xdr:col>21</xdr:col>
      <xdr:colOff>183449</xdr:colOff>
      <xdr:row>41</xdr:row>
      <xdr:rowOff>333826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5F6682-7396-48AB-95DE-6BB9540BF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31625" y="5772150"/>
          <a:ext cx="4725059" cy="3238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22"/>
  <sheetViews>
    <sheetView tabSelected="1" topLeftCell="E25" zoomScaleNormal="100" workbookViewId="0">
      <selection activeCell="S45" sqref="S45"/>
    </sheetView>
  </sheetViews>
  <sheetFormatPr defaultRowHeight="15" x14ac:dyDescent="0.25"/>
  <cols>
    <col min="1" max="1" width="11.28515625" style="1" bestFit="1" customWidth="1"/>
    <col min="2" max="2" width="21.85546875" style="1" bestFit="1" customWidth="1"/>
    <col min="3" max="3" width="58" bestFit="1" customWidth="1"/>
    <col min="4" max="4" width="36.7109375" style="6" bestFit="1" customWidth="1"/>
    <col min="5" max="5" width="38.7109375" style="6" bestFit="1" customWidth="1"/>
    <col min="6" max="6" width="12" bestFit="1" customWidth="1"/>
    <col min="7" max="7" width="12" customWidth="1"/>
    <col min="8" max="8" width="7" customWidth="1"/>
    <col min="9" max="9" width="9" style="19" bestFit="1" customWidth="1"/>
    <col min="10" max="10" width="17.5703125" style="19" bestFit="1" customWidth="1"/>
    <col min="11" max="11" width="16" style="19" bestFit="1" customWidth="1"/>
    <col min="12" max="12" width="6.5703125" customWidth="1"/>
    <col min="13" max="13" width="5" customWidth="1"/>
    <col min="15" max="15" width="48.140625" style="24" bestFit="1" customWidth="1"/>
    <col min="16" max="16" width="15.5703125" style="24" customWidth="1"/>
    <col min="17" max="17" width="28.28515625" style="24" bestFit="1" customWidth="1"/>
    <col min="18" max="18" width="13.42578125" bestFit="1" customWidth="1"/>
    <col min="19" max="19" width="12.28515625" bestFit="1" customWidth="1"/>
    <col min="20" max="20" width="32.28515625" customWidth="1"/>
    <col min="21" max="21" width="24.7109375" customWidth="1"/>
    <col min="22" max="22" width="9.5703125" bestFit="1" customWidth="1"/>
    <col min="23" max="23" width="12" bestFit="1" customWidth="1"/>
  </cols>
  <sheetData>
    <row r="1" spans="1:21" x14ac:dyDescent="0.25">
      <c r="A1" s="5" t="s">
        <v>29</v>
      </c>
      <c r="I1"/>
      <c r="J1" s="6"/>
      <c r="K1" s="6"/>
      <c r="O1" s="6"/>
      <c r="P1" s="6"/>
      <c r="Q1"/>
      <c r="T1" s="6"/>
      <c r="U1" s="6"/>
    </row>
    <row r="2" spans="1:21" ht="15.75" x14ac:dyDescent="0.25">
      <c r="A2" s="72" t="s">
        <v>93</v>
      </c>
      <c r="C2" s="301" t="s">
        <v>1748</v>
      </c>
      <c r="D2" s="301"/>
      <c r="E2" s="301"/>
      <c r="I2"/>
      <c r="J2" s="6"/>
      <c r="K2" s="6"/>
      <c r="O2" s="6"/>
      <c r="P2" s="6"/>
      <c r="Q2"/>
    </row>
    <row r="3" spans="1:21" ht="15.75" thickBot="1" x14ac:dyDescent="0.3">
      <c r="A3" s="31" t="s">
        <v>1746</v>
      </c>
      <c r="B3" s="60"/>
      <c r="I3"/>
      <c r="J3" s="6"/>
      <c r="K3" s="6"/>
      <c r="O3" s="6"/>
      <c r="P3" s="6"/>
      <c r="Q3"/>
    </row>
    <row r="4" spans="1:21" ht="15.75" thickBot="1" x14ac:dyDescent="0.3">
      <c r="B4" s="60"/>
      <c r="C4" s="1"/>
      <c r="D4" s="3"/>
      <c r="I4" s="318" t="s">
        <v>6</v>
      </c>
      <c r="J4" s="319"/>
      <c r="K4" s="320"/>
      <c r="O4" s="321" t="s">
        <v>24</v>
      </c>
      <c r="P4" s="322"/>
      <c r="Q4" s="323"/>
    </row>
    <row r="5" spans="1:21" ht="15.75" thickBot="1" x14ac:dyDescent="0.3">
      <c r="B5" s="181" t="s">
        <v>1767</v>
      </c>
      <c r="C5" s="2" t="s">
        <v>0</v>
      </c>
      <c r="I5" s="20" t="s">
        <v>4</v>
      </c>
      <c r="J5" s="20" t="s">
        <v>496</v>
      </c>
      <c r="K5" s="20" t="s">
        <v>5</v>
      </c>
      <c r="O5" s="36" t="s">
        <v>17</v>
      </c>
      <c r="P5" s="37"/>
      <c r="Q5" s="38"/>
    </row>
    <row r="6" spans="1:21" ht="15" customHeight="1" x14ac:dyDescent="0.25">
      <c r="B6" s="302" t="s">
        <v>1768</v>
      </c>
      <c r="C6" s="182" t="s">
        <v>76</v>
      </c>
      <c r="D6" s="4">
        <v>7.0000000000000007E-2</v>
      </c>
      <c r="E6" s="13" t="s">
        <v>1</v>
      </c>
      <c r="I6" s="21">
        <v>1E-3</v>
      </c>
      <c r="J6" s="21"/>
      <c r="K6" s="21">
        <v>500</v>
      </c>
      <c r="O6" s="39" t="s">
        <v>18</v>
      </c>
      <c r="P6" s="40">
        <f>VDD</f>
        <v>5</v>
      </c>
      <c r="Q6" s="41" t="s">
        <v>10</v>
      </c>
    </row>
    <row r="7" spans="1:21" ht="15.75" customHeight="1" x14ac:dyDescent="0.25">
      <c r="B7" s="303"/>
      <c r="C7" s="183" t="s">
        <v>77</v>
      </c>
      <c r="D7" s="5">
        <v>101</v>
      </c>
      <c r="E7" s="62" t="s">
        <v>2</v>
      </c>
      <c r="I7" s="21">
        <v>1</v>
      </c>
      <c r="J7" s="21"/>
      <c r="K7" s="21">
        <v>1000000</v>
      </c>
      <c r="O7" s="42" t="s">
        <v>20</v>
      </c>
      <c r="P7" s="43">
        <f xml:space="preserve"> (P6/2) / ((D208/1000)*GD_CSOPAMP_GAIN)</f>
        <v>41.666666666666671</v>
      </c>
      <c r="Q7" s="44" t="s">
        <v>19</v>
      </c>
      <c r="R7">
        <f xml:space="preserve"> (P6/2) / ((D208/1000)*GD_CSOPAMP_GAIN)</f>
        <v>41.666666666666671</v>
      </c>
    </row>
    <row r="8" spans="1:21" ht="15" customHeight="1" x14ac:dyDescent="0.25">
      <c r="B8" s="303"/>
      <c r="C8" s="183" t="s">
        <v>78</v>
      </c>
      <c r="D8" s="5">
        <v>101</v>
      </c>
      <c r="E8" s="62" t="s">
        <v>2</v>
      </c>
      <c r="F8" s="119" t="s">
        <v>41</v>
      </c>
      <c r="G8" s="28">
        <f>USER_MOTOR_LD_PER_PHASE_uH/USER_MOTOR_LQ_PER_PHASE_uH</f>
        <v>1</v>
      </c>
      <c r="I8" s="21">
        <v>1</v>
      </c>
      <c r="J8" s="21"/>
      <c r="K8" s="21">
        <v>1000000</v>
      </c>
      <c r="O8" s="45" t="s">
        <v>38</v>
      </c>
      <c r="P8" s="46">
        <f>VAREF_V/DC_LINK_DIVIDER_RATIO</f>
        <v>65.530085959885383</v>
      </c>
      <c r="Q8" s="47" t="s">
        <v>10</v>
      </c>
    </row>
    <row r="9" spans="1:21" ht="15.75" customHeight="1" thickBot="1" x14ac:dyDescent="0.3">
      <c r="B9" s="303"/>
      <c r="C9" s="183" t="s">
        <v>79</v>
      </c>
      <c r="D9" s="5">
        <v>3</v>
      </c>
      <c r="E9" s="62" t="s">
        <v>3</v>
      </c>
      <c r="I9" s="21">
        <v>1</v>
      </c>
      <c r="J9" s="21"/>
      <c r="K9" s="21">
        <v>99</v>
      </c>
      <c r="O9" s="48"/>
      <c r="P9" s="49"/>
      <c r="Q9" s="50"/>
    </row>
    <row r="10" spans="1:21" ht="15.75" customHeight="1" thickBot="1" x14ac:dyDescent="0.3">
      <c r="B10" s="303"/>
      <c r="C10" s="184" t="s">
        <v>507</v>
      </c>
      <c r="D10" s="35">
        <v>2.6099999999999999E-3</v>
      </c>
      <c r="E10" s="15" t="s">
        <v>508</v>
      </c>
      <c r="O10" s="118"/>
      <c r="P10" s="118"/>
      <c r="Q10" s="118"/>
    </row>
    <row r="11" spans="1:21" ht="15.75" customHeight="1" thickBot="1" x14ac:dyDescent="0.3">
      <c r="B11" s="303"/>
      <c r="O11" s="36" t="s">
        <v>21</v>
      </c>
      <c r="P11" s="37"/>
      <c r="Q11" s="38"/>
    </row>
    <row r="12" spans="1:21" ht="15.75" customHeight="1" thickBot="1" x14ac:dyDescent="0.3">
      <c r="B12" s="303"/>
      <c r="C12" s="2" t="s">
        <v>1766</v>
      </c>
      <c r="O12" s="51" t="s">
        <v>22</v>
      </c>
      <c r="P12" s="52">
        <f>I_MAX_A</f>
        <v>41.666666666666671</v>
      </c>
      <c r="Q12" s="41" t="s">
        <v>19</v>
      </c>
      <c r="R12">
        <v>32767</v>
      </c>
    </row>
    <row r="13" spans="1:21" ht="15.75" customHeight="1" thickBot="1" x14ac:dyDescent="0.3">
      <c r="B13" s="303"/>
      <c r="C13" s="182" t="s">
        <v>80</v>
      </c>
      <c r="D13" s="7">
        <v>20</v>
      </c>
      <c r="E13" s="29" t="s">
        <v>7</v>
      </c>
      <c r="F13" s="28">
        <f>USER_MOTOR_SPEED_LOW_LIMIT_RPM*USER_MOTOR_POLE_PAIR/60</f>
        <v>1</v>
      </c>
      <c r="G13" s="28" t="s">
        <v>9</v>
      </c>
      <c r="I13" s="21">
        <v>1</v>
      </c>
      <c r="J13" s="21"/>
      <c r="K13" s="21">
        <v>200000</v>
      </c>
      <c r="O13" s="53" t="s">
        <v>23</v>
      </c>
      <c r="P13" s="54">
        <f>2*VDC/3</f>
        <v>32</v>
      </c>
      <c r="Q13" s="55" t="s">
        <v>10</v>
      </c>
      <c r="R13">
        <v>32767</v>
      </c>
    </row>
    <row r="14" spans="1:21" ht="15.75" customHeight="1" x14ac:dyDescent="0.25">
      <c r="B14" s="303"/>
      <c r="C14" s="264" t="s">
        <v>1888</v>
      </c>
      <c r="D14" s="265">
        <v>4300</v>
      </c>
      <c r="E14" s="266" t="s">
        <v>7</v>
      </c>
      <c r="F14" s="28"/>
      <c r="G14" s="28"/>
      <c r="I14" s="21"/>
      <c r="J14" s="21"/>
      <c r="K14" s="21"/>
      <c r="O14" s="267"/>
      <c r="P14" s="268"/>
      <c r="Q14" s="38"/>
    </row>
    <row r="15" spans="1:21" ht="15.75" customHeight="1" x14ac:dyDescent="0.25">
      <c r="B15" s="303"/>
      <c r="C15" s="270" t="s">
        <v>81</v>
      </c>
      <c r="D15" s="269">
        <f>IF(MAX_ASSIST_TORQUE_LIMIT_EN_DIS="DISABLED",USER_MOTOR_SPEED_HIGH_LIMIT_RPM_INPUT,E_BIKE_SPEED_LIMIT_RPM)</f>
        <v>4300</v>
      </c>
      <c r="E15" s="271" t="s">
        <v>7</v>
      </c>
      <c r="F15" s="28">
        <f>USER_MOTOR_SPEED_HIGH_LIMIT_RPM*USER_MOTOR_POLE_PAIR/60</f>
        <v>215</v>
      </c>
      <c r="G15" s="28" t="s">
        <v>9</v>
      </c>
      <c r="I15" s="21">
        <v>1</v>
      </c>
      <c r="J15" s="21"/>
      <c r="K15" s="21">
        <v>200000</v>
      </c>
      <c r="O15" s="118"/>
      <c r="P15" s="118"/>
      <c r="Q15" s="118"/>
    </row>
    <row r="16" spans="1:21" ht="15.75" customHeight="1" thickBot="1" x14ac:dyDescent="0.3">
      <c r="B16" s="304"/>
      <c r="C16" s="272" t="s">
        <v>32</v>
      </c>
      <c r="D16" s="31">
        <f>(USER_MOTOR_SPEED_HIGH_LIMIT_RPM*USER_MOTOR_POLE_PAIR*360/60)/USER_CCU8_PWM_FREQ_HZ</f>
        <v>3.87</v>
      </c>
      <c r="E16" s="273" t="s">
        <v>33</v>
      </c>
      <c r="O16" s="36" t="s">
        <v>25</v>
      </c>
      <c r="P16" s="37"/>
      <c r="Q16" s="38"/>
    </row>
    <row r="17" spans="2:18" ht="15.75" customHeight="1" thickBot="1" x14ac:dyDescent="0.3">
      <c r="F17" s="269">
        <f>IF(MAX_ASSIST_TORQUE_LIMIT_EN_DIS="DISABLED",USER_MOTOR_SPEED_HIGH_LIMIT_RPM_INPUT,E_BIKE_SPEED_LIMIT_RPM)</f>
        <v>4300</v>
      </c>
      <c r="O17" s="51" t="s">
        <v>26</v>
      </c>
      <c r="P17" s="52">
        <f>N_I_A</f>
        <v>41.666666666666671</v>
      </c>
      <c r="Q17" s="41" t="s">
        <v>19</v>
      </c>
    </row>
    <row r="18" spans="2:18" ht="15.75" customHeight="1" thickBot="1" x14ac:dyDescent="0.3">
      <c r="B18" s="302" t="s">
        <v>1769</v>
      </c>
      <c r="C18" s="2" t="s">
        <v>1772</v>
      </c>
      <c r="O18" s="53" t="s">
        <v>27</v>
      </c>
      <c r="P18" s="56">
        <f>N_V_V</f>
        <v>32</v>
      </c>
      <c r="Q18" s="55" t="s">
        <v>10</v>
      </c>
    </row>
    <row r="19" spans="2:18" ht="15.75" customHeight="1" x14ac:dyDescent="0.25">
      <c r="B19" s="303"/>
      <c r="C19" s="191" t="s">
        <v>1775</v>
      </c>
      <c r="D19" s="34">
        <v>35</v>
      </c>
      <c r="E19" s="14" t="s">
        <v>3</v>
      </c>
      <c r="I19" s="21">
        <v>0</v>
      </c>
      <c r="J19" s="21"/>
      <c r="K19" s="21">
        <v>255</v>
      </c>
      <c r="O19" s="118"/>
      <c r="P19" s="118"/>
      <c r="Q19" s="118"/>
    </row>
    <row r="20" spans="2:18" ht="15.75" customHeight="1" thickBot="1" x14ac:dyDescent="0.3">
      <c r="B20" s="303"/>
      <c r="C20" s="192" t="s">
        <v>1773</v>
      </c>
      <c r="D20" s="35">
        <v>4281791882</v>
      </c>
      <c r="E20" s="15" t="s">
        <v>3</v>
      </c>
      <c r="I20" s="21">
        <v>0</v>
      </c>
      <c r="J20" s="21"/>
      <c r="K20" s="21">
        <v>9999999999</v>
      </c>
      <c r="O20" s="36" t="s">
        <v>480</v>
      </c>
      <c r="P20" s="93"/>
      <c r="Q20" s="38"/>
    </row>
    <row r="21" spans="2:18" ht="15.75" customHeight="1" thickBot="1" x14ac:dyDescent="0.3">
      <c r="B21" s="303"/>
      <c r="O21" s="98" t="s">
        <v>485</v>
      </c>
      <c r="P21" s="99">
        <f>(2*PI()*(USER_MOTOR_SPEED_HIGH_LIMIT_RPM/60)*USER_MOTOR_POLE_PAIR*(USER_FAST_CTRL_LOOP_PERIOD_US/1000000))</f>
        <v>6.754424205218057E-2</v>
      </c>
      <c r="Q21" s="100" t="s">
        <v>481</v>
      </c>
      <c r="R21">
        <f>2^15-1</f>
        <v>32767</v>
      </c>
    </row>
    <row r="22" spans="2:18" ht="15.75" thickBot="1" x14ac:dyDescent="0.3">
      <c r="B22" s="303"/>
      <c r="C22" s="25" t="s">
        <v>414</v>
      </c>
      <c r="O22" s="118"/>
      <c r="P22" s="118"/>
      <c r="Q22" s="118"/>
    </row>
    <row r="23" spans="2:18" ht="30.75" thickBot="1" x14ac:dyDescent="0.3">
      <c r="B23" s="303"/>
      <c r="C23" s="185" t="s">
        <v>415</v>
      </c>
      <c r="D23" s="34" t="s">
        <v>326</v>
      </c>
      <c r="E23" s="84" t="s">
        <v>468</v>
      </c>
      <c r="F23" t="s">
        <v>1797</v>
      </c>
      <c r="O23" s="36" t="s">
        <v>483</v>
      </c>
      <c r="P23" s="93"/>
      <c r="Q23" s="38"/>
    </row>
    <row r="24" spans="2:18" ht="15.75" thickBot="1" x14ac:dyDescent="0.3">
      <c r="B24" s="303"/>
      <c r="C24" s="119" t="s">
        <v>416</v>
      </c>
      <c r="D24" s="5">
        <v>20</v>
      </c>
      <c r="E24" s="17" t="s">
        <v>3</v>
      </c>
      <c r="F24">
        <f>ROUND(1000*USER_TH_POT_ADC_START/4096*5,1)</f>
        <v>24.4</v>
      </c>
      <c r="I24" s="21">
        <v>0</v>
      </c>
      <c r="J24" s="21"/>
      <c r="K24" s="21">
        <v>4096</v>
      </c>
      <c r="O24" s="98" t="s">
        <v>484</v>
      </c>
      <c r="P24" s="99">
        <f>PI()</f>
        <v>3.1415926535897931</v>
      </c>
      <c r="Q24" s="100" t="s">
        <v>482</v>
      </c>
      <c r="R24">
        <f>2^31-1</f>
        <v>2147483647</v>
      </c>
    </row>
    <row r="25" spans="2:18" ht="15.75" thickBot="1" x14ac:dyDescent="0.3">
      <c r="B25" s="303"/>
      <c r="C25" s="119" t="s">
        <v>417</v>
      </c>
      <c r="D25" s="5">
        <v>10</v>
      </c>
      <c r="E25" s="17" t="s">
        <v>3</v>
      </c>
      <c r="I25" s="21">
        <v>0</v>
      </c>
      <c r="J25" s="21"/>
      <c r="K25" s="21">
        <v>4096</v>
      </c>
      <c r="O25" s="118"/>
      <c r="P25" s="118"/>
      <c r="Q25" s="118"/>
    </row>
    <row r="26" spans="2:18" ht="15.75" thickBot="1" x14ac:dyDescent="0.3">
      <c r="B26" s="303"/>
      <c r="C26" s="186" t="s">
        <v>418</v>
      </c>
      <c r="D26" s="35">
        <v>1</v>
      </c>
      <c r="E26" s="15" t="s">
        <v>3</v>
      </c>
      <c r="I26" s="21">
        <v>0</v>
      </c>
      <c r="J26" s="21"/>
      <c r="K26" s="21">
        <v>10</v>
      </c>
      <c r="O26" s="107" t="s">
        <v>489</v>
      </c>
      <c r="P26" s="108">
        <f>ROUND((SPEED_TO_ANGLE_CONV_FACTOR_raw*2^SPEED_TO_ANGLE_CONV_FACTOR_SCALE),0)</f>
        <v>22545</v>
      </c>
      <c r="Q26" s="41" t="s">
        <v>3</v>
      </c>
      <c r="R26">
        <f>(N_eSpeed_rad_FCL/N_eSpeed_T)*(N_eRotorAngle_T/N_eRotorAngle_rad)</f>
        <v>1409.0670006561484</v>
      </c>
    </row>
    <row r="27" spans="2:18" x14ac:dyDescent="0.25">
      <c r="B27" s="303"/>
      <c r="O27" s="109" t="s">
        <v>490</v>
      </c>
      <c r="P27" s="106">
        <f>ROUND(MIN((14 - ROUNDDOWN((LOG((SPEED_TO_ANGLE_CONV_FACTOR_raw),2)),0)),14),0)</f>
        <v>4</v>
      </c>
      <c r="Q27" s="44" t="s">
        <v>3</v>
      </c>
    </row>
    <row r="28" spans="2:18" ht="15.75" thickBot="1" x14ac:dyDescent="0.3">
      <c r="B28" s="303"/>
      <c r="C28" s="25" t="s">
        <v>359</v>
      </c>
      <c r="O28" s="109" t="s">
        <v>447</v>
      </c>
      <c r="P28" s="106">
        <f>ROUND((2^SPEED_TO_RPM_SCALE)*R28,0)</f>
        <v>2150</v>
      </c>
      <c r="Q28" s="44" t="s">
        <v>3</v>
      </c>
      <c r="R28">
        <f>60*N_eSpeed_rad_FCL/(2*PI()*N_eSpeed_T*USER_MOTOR_POLE_PAIR*USER_FAST_CTRL_LOOP_PERIOD_US*0.000001)</f>
        <v>0.13122959074678797</v>
      </c>
    </row>
    <row r="29" spans="2:18" ht="15.75" thickBot="1" x14ac:dyDescent="0.3">
      <c r="B29" s="303"/>
      <c r="C29" s="187" t="s">
        <v>360</v>
      </c>
      <c r="D29" s="112" t="s">
        <v>361</v>
      </c>
      <c r="E29" s="70" t="s">
        <v>511</v>
      </c>
      <c r="O29" s="110" t="s">
        <v>448</v>
      </c>
      <c r="P29" s="111">
        <f>ROUND((MIN(14, 14 - LOG(R28,2) )),0)</f>
        <v>14</v>
      </c>
      <c r="Q29" s="55" t="s">
        <v>3</v>
      </c>
    </row>
    <row r="30" spans="2:18" x14ac:dyDescent="0.25">
      <c r="B30" s="303"/>
      <c r="O30"/>
      <c r="P30"/>
      <c r="Q30"/>
    </row>
    <row r="31" spans="2:18" ht="15.75" thickBot="1" x14ac:dyDescent="0.3">
      <c r="B31" s="303"/>
      <c r="C31" s="25" t="s">
        <v>413</v>
      </c>
      <c r="O31"/>
      <c r="P31"/>
      <c r="Q31"/>
    </row>
    <row r="32" spans="2:18" ht="15.75" thickTop="1" x14ac:dyDescent="0.25">
      <c r="B32" s="303"/>
      <c r="C32" s="185" t="s">
        <v>411</v>
      </c>
      <c r="D32" s="34" t="s">
        <v>188</v>
      </c>
      <c r="E32" s="14" t="s">
        <v>425</v>
      </c>
      <c r="O32" s="209" t="s">
        <v>1800</v>
      </c>
      <c r="P32" s="210">
        <v>5</v>
      </c>
      <c r="Q32" s="211" t="s">
        <v>3</v>
      </c>
    </row>
    <row r="33" spans="2:18" ht="15.75" thickBot="1" x14ac:dyDescent="0.3">
      <c r="B33" s="303"/>
      <c r="C33" s="186" t="s">
        <v>412</v>
      </c>
      <c r="D33" s="35" t="s">
        <v>188</v>
      </c>
      <c r="E33" s="15" t="s">
        <v>425</v>
      </c>
      <c r="O33" s="212" t="s">
        <v>1802</v>
      </c>
      <c r="P33" s="204">
        <f>USER_PCLK_FREQ_MHz * 10^6/(2^HALL_CLK_PRE_SCALE)</f>
        <v>3000000</v>
      </c>
      <c r="Q33" s="213" t="s">
        <v>3</v>
      </c>
    </row>
    <row r="34" spans="2:18" x14ac:dyDescent="0.25">
      <c r="B34" s="303"/>
      <c r="O34" s="212" t="s">
        <v>1801</v>
      </c>
      <c r="P34" s="204">
        <f>ROUNDUP(2*PI()*HALL_CLK_FREQ/USER_CCU8_PWM_FREQ_HZ, 0)</f>
        <v>943</v>
      </c>
      <c r="Q34" s="214" t="s">
        <v>3</v>
      </c>
    </row>
    <row r="35" spans="2:18" ht="15.75" thickBot="1" x14ac:dyDescent="0.3">
      <c r="B35" s="303"/>
      <c r="C35" s="25" t="s">
        <v>459</v>
      </c>
      <c r="O35" s="212" t="s">
        <v>1799</v>
      </c>
      <c r="P35" s="204">
        <f>ROUNDDOWN(P34*N_eSpeed_T/N_eSpeed_rad_FCL, 0)</f>
        <v>457467284</v>
      </c>
      <c r="Q35" s="213" t="s">
        <v>3</v>
      </c>
    </row>
    <row r="36" spans="2:18" ht="60.75" thickBot="1" x14ac:dyDescent="0.3">
      <c r="B36" s="303"/>
      <c r="C36" s="187" t="s">
        <v>403</v>
      </c>
      <c r="D36" s="95" t="s">
        <v>1823</v>
      </c>
      <c r="E36" s="94" t="s">
        <v>1824</v>
      </c>
      <c r="O36" s="212" t="s">
        <v>1808</v>
      </c>
      <c r="P36" s="204">
        <f>ROUNDUP(LOG(HALL_RAD_PER_PWM_RES_INC_FACTOR,2), 0)</f>
        <v>29</v>
      </c>
      <c r="Q36" s="215" t="s">
        <v>1809</v>
      </c>
    </row>
    <row r="37" spans="2:18" x14ac:dyDescent="0.25">
      <c r="B37" s="303"/>
      <c r="O37" s="212" t="s">
        <v>1803</v>
      </c>
      <c r="P37" s="204">
        <v>25</v>
      </c>
      <c r="Q37" s="213" t="s">
        <v>3</v>
      </c>
    </row>
    <row r="38" spans="2:18" ht="15.75" thickBot="1" x14ac:dyDescent="0.3">
      <c r="B38" s="303"/>
      <c r="C38" s="25" t="s">
        <v>460</v>
      </c>
      <c r="O38" s="212" t="s">
        <v>1804</v>
      </c>
      <c r="P38" s="204">
        <v>36</v>
      </c>
      <c r="Q38" s="213" t="s">
        <v>3</v>
      </c>
    </row>
    <row r="39" spans="2:18" ht="15.75" thickBot="1" x14ac:dyDescent="0.3">
      <c r="B39" s="303"/>
      <c r="C39" s="187" t="s">
        <v>405</v>
      </c>
      <c r="D39" s="96" t="s">
        <v>189</v>
      </c>
      <c r="E39" s="94" t="s">
        <v>425</v>
      </c>
      <c r="O39" s="212" t="s">
        <v>1805</v>
      </c>
      <c r="P39" s="204">
        <v>40000</v>
      </c>
      <c r="Q39" s="213" t="s">
        <v>1810</v>
      </c>
    </row>
    <row r="40" spans="2:18" x14ac:dyDescent="0.25">
      <c r="B40" s="303"/>
      <c r="O40" s="212" t="s">
        <v>1806</v>
      </c>
      <c r="P40" s="204">
        <f>P39 *USER_CCU8_PWM_FREQ_HZ/1000</f>
        <v>800000</v>
      </c>
      <c r="Q40" s="213" t="s">
        <v>3</v>
      </c>
    </row>
    <row r="41" spans="2:18" ht="15.75" thickBot="1" x14ac:dyDescent="0.3">
      <c r="B41" s="303"/>
      <c r="C41" s="25" t="s">
        <v>462</v>
      </c>
      <c r="O41" s="294" t="s">
        <v>1807</v>
      </c>
      <c r="P41" s="295">
        <f>ROUND(KpHallPLL_DEC*2^KpHallPLL_SCALE, 0)</f>
        <v>983</v>
      </c>
      <c r="Q41" s="296" t="s">
        <v>3</v>
      </c>
    </row>
    <row r="42" spans="2:18" ht="45" x14ac:dyDescent="0.25">
      <c r="B42" s="303"/>
      <c r="C42" s="185" t="s">
        <v>407</v>
      </c>
      <c r="D42" s="86" t="s">
        <v>312</v>
      </c>
      <c r="E42" s="84" t="s">
        <v>461</v>
      </c>
      <c r="O42" s="291" t="s">
        <v>1827</v>
      </c>
      <c r="P42" s="234">
        <f>HALL_CLK_FREQ/USER_CCU8_PWM_FREQ_HZ</f>
        <v>150</v>
      </c>
      <c r="Q42" s="292" t="s">
        <v>3</v>
      </c>
    </row>
    <row r="43" spans="2:18" ht="30" x14ac:dyDescent="0.25">
      <c r="B43" s="303"/>
      <c r="C43" s="119" t="s">
        <v>408</v>
      </c>
      <c r="D43" s="11" t="s">
        <v>314</v>
      </c>
      <c r="E43" s="97" t="s">
        <v>463</v>
      </c>
      <c r="O43" s="293" t="s">
        <v>1916</v>
      </c>
      <c r="P43" s="293">
        <v>0.03</v>
      </c>
      <c r="Q43" s="293" t="s">
        <v>3</v>
      </c>
      <c r="R43">
        <f xml:space="preserve"> N_eSpeed_rad_FCL*HALL_SEC__PWM_CYCLE_CONV/N_eSpeed_T</f>
        <v>3.0920243866777811E-4</v>
      </c>
    </row>
    <row r="44" spans="2:18" ht="30.75" thickBot="1" x14ac:dyDescent="0.3">
      <c r="B44" s="303"/>
      <c r="C44" s="186" t="s">
        <v>409</v>
      </c>
      <c r="D44" s="87" t="s">
        <v>317</v>
      </c>
      <c r="E44" s="85" t="s">
        <v>464</v>
      </c>
      <c r="O44" s="293" t="s">
        <v>1915</v>
      </c>
      <c r="P44" s="293">
        <f>MIN((15-ROUNDUP((LOG(P43,2)),0)),15)</f>
        <v>15</v>
      </c>
      <c r="Q44" s="293" t="s">
        <v>3</v>
      </c>
    </row>
    <row r="45" spans="2:18" x14ac:dyDescent="0.25">
      <c r="B45" s="303"/>
      <c r="D45" s="57"/>
      <c r="E45" s="229"/>
      <c r="O45"/>
      <c r="P45"/>
      <c r="Q45"/>
    </row>
    <row r="46" spans="2:18" ht="15.75" thickBot="1" x14ac:dyDescent="0.3">
      <c r="B46" s="303"/>
      <c r="C46" s="25" t="s">
        <v>1884</v>
      </c>
      <c r="D46" s="57"/>
      <c r="E46" s="229"/>
      <c r="O46"/>
      <c r="P46"/>
      <c r="Q46"/>
    </row>
    <row r="47" spans="2:18" ht="15.75" thickBot="1" x14ac:dyDescent="0.3">
      <c r="B47" s="300"/>
      <c r="C47" s="208" t="s">
        <v>1885</v>
      </c>
      <c r="D47" s="230">
        <v>110</v>
      </c>
      <c r="E47" s="84" t="s">
        <v>1826</v>
      </c>
      <c r="O47" s="231" t="s">
        <v>1886</v>
      </c>
      <c r="P47" s="232">
        <f>ROUND((R47/N_eSpeed_rad_FCL)*N_eSpeed_T,0)</f>
        <v>2668</v>
      </c>
      <c r="Q47" s="233" t="s">
        <v>3</v>
      </c>
      <c r="R47">
        <f>USER_REGEN_MIN_SPEED/(USER_CCU8_PWM_FREQ_HZ)</f>
        <v>5.4999999999999997E-3</v>
      </c>
    </row>
    <row r="48" spans="2:18" x14ac:dyDescent="0.25">
      <c r="B48" s="303"/>
      <c r="O48"/>
      <c r="P48"/>
      <c r="Q48"/>
    </row>
    <row r="49" spans="1:17" ht="15.75" thickBot="1" x14ac:dyDescent="0.3">
      <c r="A49" s="69"/>
      <c r="B49" s="303"/>
      <c r="C49" s="69" t="s">
        <v>514</v>
      </c>
      <c r="E49" s="69"/>
      <c r="F49" s="6"/>
      <c r="O49"/>
      <c r="P49"/>
      <c r="Q49"/>
    </row>
    <row r="50" spans="1:17" x14ac:dyDescent="0.25">
      <c r="B50" s="303"/>
      <c r="C50" s="188" t="s">
        <v>513</v>
      </c>
      <c r="D50" s="90">
        <v>20</v>
      </c>
      <c r="E50" s="14" t="s">
        <v>31</v>
      </c>
      <c r="I50" s="21">
        <v>0</v>
      </c>
      <c r="J50" s="21">
        <v>1</v>
      </c>
      <c r="K50" s="21">
        <v>1000</v>
      </c>
      <c r="O50" s="137" t="s">
        <v>144</v>
      </c>
      <c r="P50" s="166">
        <f>ROUND(((USER_BOOTSTRAP_BRAKE_TIME_MS*1000/USER_FAST_CTRL_LOOP_PERIOD_US)),0)</f>
        <v>400</v>
      </c>
      <c r="Q50" s="149" t="s">
        <v>3</v>
      </c>
    </row>
    <row r="51" spans="1:17" ht="15.75" thickBot="1" x14ac:dyDescent="0.3">
      <c r="B51" s="303"/>
      <c r="C51" s="189" t="s">
        <v>1828</v>
      </c>
      <c r="D51" s="91">
        <v>20</v>
      </c>
      <c r="E51" s="15" t="s">
        <v>31</v>
      </c>
      <c r="I51" s="21">
        <v>0</v>
      </c>
      <c r="J51" s="21">
        <v>2</v>
      </c>
      <c r="K51" s="21">
        <v>1000</v>
      </c>
      <c r="O51" s="143" t="s">
        <v>505</v>
      </c>
      <c r="P51" s="171">
        <f>ROUND(((BOOTSTRAP_PRECHARGE_TIME_MS*1000/USER_FAST_CTRL_LOOP_PERIOD_US)),0)</f>
        <v>400</v>
      </c>
      <c r="Q51" s="152" t="s">
        <v>3</v>
      </c>
    </row>
    <row r="52" spans="1:17" x14ac:dyDescent="0.25">
      <c r="B52" s="303"/>
      <c r="D52"/>
      <c r="E52"/>
      <c r="O52" s="133"/>
      <c r="P52" s="134"/>
      <c r="Q52" s="133"/>
    </row>
    <row r="53" spans="1:17" ht="15.75" thickBot="1" x14ac:dyDescent="0.3">
      <c r="B53" s="303"/>
      <c r="C53" s="2" t="s">
        <v>86</v>
      </c>
      <c r="O53" s="133"/>
      <c r="P53" s="135"/>
      <c r="Q53" s="136"/>
    </row>
    <row r="54" spans="1:17" x14ac:dyDescent="0.25">
      <c r="B54" s="303"/>
      <c r="C54" s="182" t="s">
        <v>82</v>
      </c>
      <c r="D54" s="34">
        <v>0.5</v>
      </c>
      <c r="E54" s="61" t="s">
        <v>10</v>
      </c>
      <c r="I54" s="21">
        <v>1E-3</v>
      </c>
      <c r="J54" s="21"/>
      <c r="K54" s="21">
        <f>N_V_V</f>
        <v>32</v>
      </c>
      <c r="O54" s="137" t="s">
        <v>89</v>
      </c>
      <c r="P54" s="138">
        <f>ROUND((D54*32767/N_V_V),0)</f>
        <v>512</v>
      </c>
      <c r="Q54" s="139" t="s">
        <v>3</v>
      </c>
    </row>
    <row r="55" spans="1:17" x14ac:dyDescent="0.25">
      <c r="B55" s="303"/>
      <c r="C55" s="183" t="s">
        <v>83</v>
      </c>
      <c r="D55" s="5">
        <v>0.2</v>
      </c>
      <c r="E55" s="62" t="s">
        <v>87</v>
      </c>
      <c r="I55" s="21">
        <v>1E-3</v>
      </c>
      <c r="J55" s="21"/>
      <c r="K55" s="21">
        <f>N_V_V</f>
        <v>32</v>
      </c>
      <c r="O55" s="140" t="s">
        <v>90</v>
      </c>
      <c r="P55" s="141">
        <f>ROUND((USER_VF_V_PER_HZ*USER_CCU8_PWM_FREQ_HZ*N_eSpeed_rad_FCL/(2*PI()*USER_MOTOR_POLE_PAIR*N_V_V)),0)</f>
        <v>0</v>
      </c>
      <c r="Q55" s="142" t="s">
        <v>3</v>
      </c>
    </row>
    <row r="56" spans="1:17" x14ac:dyDescent="0.25">
      <c r="B56" s="303"/>
      <c r="C56" s="183" t="s">
        <v>84</v>
      </c>
      <c r="D56" s="5">
        <v>400</v>
      </c>
      <c r="E56" s="62" t="s">
        <v>7</v>
      </c>
      <c r="I56" s="21">
        <v>1</v>
      </c>
      <c r="J56" s="21"/>
      <c r="K56" s="21">
        <f>USER_MOTOR_SPEED_HIGH_LIMIT_RPM/2</f>
        <v>2150</v>
      </c>
      <c r="O56" s="140" t="s">
        <v>91</v>
      </c>
      <c r="P56" s="141">
        <f>ROUND((2*PI()*USER_VF_TRANSITION_SPEED_RPM*USER_MOTOR_POLE_PAIR/(USER_CCU8_PWM_FREQ_HZ*60))*(32767/N_eSpeed_rad_FCL),0)</f>
        <v>3048</v>
      </c>
      <c r="Q56" s="142" t="s">
        <v>3</v>
      </c>
    </row>
    <row r="57" spans="1:17" x14ac:dyDescent="0.25">
      <c r="B57" s="303"/>
      <c r="C57" s="183" t="s">
        <v>85</v>
      </c>
      <c r="D57" s="5">
        <v>50</v>
      </c>
      <c r="E57" s="62" t="s">
        <v>88</v>
      </c>
      <c r="I57" s="21">
        <f>(1/((STARTUP_VF_TRANSITION_SPEED*2^15)/(USER_CCU8_PWM_FREQ_HZ*USER_VF_TRANSITION_SPEED_RPM)))</f>
        <v>8.0098630249343827E-2</v>
      </c>
      <c r="J57" s="21"/>
      <c r="K57" s="21">
        <f>(1/(STARTUP_VF_TRANSITION_SPEED/(USER_CCU8_PWM_FREQ_HZ*USER_VF_TRANSITION_SPEED_RPM)))</f>
        <v>2624.6719160104985</v>
      </c>
      <c r="O57" s="140" t="s">
        <v>92</v>
      </c>
      <c r="P57" s="141">
        <f>ROUND(((USER_VF_TRANSITION_SPEED_RPM/USER_VF_SPEED_RAMPUP_RATE_RPM_PER_S)*USER_CCU8_PWM_FREQ_HZ/STARTUP_VF_TRANSITION_SPEED),0)</f>
        <v>52</v>
      </c>
      <c r="Q57" s="142" t="s">
        <v>3</v>
      </c>
    </row>
    <row r="58" spans="1:17" ht="15.75" thickBot="1" x14ac:dyDescent="0.3">
      <c r="B58" s="303"/>
      <c r="C58" s="184" t="s">
        <v>94</v>
      </c>
      <c r="D58" s="35">
        <v>50</v>
      </c>
      <c r="E58" s="63" t="s">
        <v>31</v>
      </c>
      <c r="I58" s="21">
        <f>USER_FAST_CTRL_LOOP_PERIOD_US/1000</f>
        <v>0.05</v>
      </c>
      <c r="J58" s="21"/>
      <c r="K58" s="21">
        <f>32767*USER_FAST_CTRL_LOOP_PERIOD_US/1000</f>
        <v>1638.35</v>
      </c>
      <c r="O58" s="143" t="s">
        <v>95</v>
      </c>
      <c r="P58" s="144">
        <f>ROUND((USER_STARTUP_VF_STABILIZATION_TIME_mS*1000/USER_FAST_CTRL_LOOP_PERIOD_US),0)</f>
        <v>1000</v>
      </c>
      <c r="Q58" s="145" t="s">
        <v>3</v>
      </c>
    </row>
    <row r="59" spans="1:17" x14ac:dyDescent="0.25">
      <c r="B59" s="303"/>
      <c r="C59" s="26"/>
      <c r="D59" s="77"/>
      <c r="E59" s="77"/>
      <c r="O59" s="133"/>
      <c r="P59" s="135"/>
      <c r="Q59" s="136"/>
    </row>
    <row r="60" spans="1:17" ht="15.75" thickBot="1" x14ac:dyDescent="0.3">
      <c r="B60" s="303"/>
      <c r="C60" s="2" t="s">
        <v>165</v>
      </c>
      <c r="D60" s="77"/>
      <c r="E60" s="77"/>
      <c r="O60" s="133"/>
      <c r="P60" s="135"/>
      <c r="Q60" s="136"/>
    </row>
    <row r="61" spans="1:17" x14ac:dyDescent="0.25">
      <c r="B61" s="303"/>
      <c r="C61" s="182" t="s">
        <v>166</v>
      </c>
      <c r="D61" s="7">
        <v>1</v>
      </c>
      <c r="E61" s="61" t="s">
        <v>19</v>
      </c>
      <c r="I61" s="21">
        <v>0</v>
      </c>
      <c r="J61" s="21"/>
      <c r="K61" s="21">
        <f>I_MAX_A</f>
        <v>41.666666666666671</v>
      </c>
      <c r="O61" s="137" t="s">
        <v>163</v>
      </c>
      <c r="P61" s="146">
        <f>ROUND((USER_ROTOR_PRE_ALIGNMENT_CURRENT_A*32767/N_I_A),0)</f>
        <v>786</v>
      </c>
      <c r="Q61" s="139" t="s">
        <v>3</v>
      </c>
    </row>
    <row r="62" spans="1:17" ht="15.75" thickBot="1" x14ac:dyDescent="0.3">
      <c r="B62" s="303"/>
      <c r="C62" s="184" t="s">
        <v>167</v>
      </c>
      <c r="D62" s="8">
        <v>300</v>
      </c>
      <c r="E62" s="63" t="s">
        <v>31</v>
      </c>
      <c r="I62" s="21">
        <v>0</v>
      </c>
      <c r="J62" s="21"/>
      <c r="K62" s="21">
        <f>2^31*USER_FAST_CTRL_LOOP_PERIOD_US/1000</f>
        <v>107374182.40000001</v>
      </c>
      <c r="O62" s="140" t="s">
        <v>164</v>
      </c>
      <c r="P62" s="141">
        <f>ROUND(((USER_ROTOR_PRE_ALIGNMENT_TIME_MS*1000)/USER_FAST_CTRL_LOOP_PERIOD_US),0)</f>
        <v>6000</v>
      </c>
      <c r="Q62" s="142" t="s">
        <v>3</v>
      </c>
    </row>
    <row r="63" spans="1:17" x14ac:dyDescent="0.25">
      <c r="B63" s="303"/>
      <c r="C63" s="26" t="s">
        <v>1833</v>
      </c>
      <c r="D63" s="238">
        <v>1</v>
      </c>
      <c r="E63" s="77" t="s">
        <v>10</v>
      </c>
      <c r="O63" s="140" t="s">
        <v>1834</v>
      </c>
      <c r="P63" s="141">
        <f>ROUND(USER_ROTOR_ZERO_DEG_ID_SVPWM_REF_V/N_V_V*32767,0)</f>
        <v>1024</v>
      </c>
      <c r="Q63" s="142" t="s">
        <v>3</v>
      </c>
    </row>
    <row r="64" spans="1:17" x14ac:dyDescent="0.25">
      <c r="B64" s="303"/>
      <c r="C64" s="26" t="s">
        <v>1830</v>
      </c>
      <c r="D64" s="238">
        <v>100</v>
      </c>
      <c r="E64" s="77" t="s">
        <v>31</v>
      </c>
      <c r="O64" s="140" t="s">
        <v>1831</v>
      </c>
      <c r="P64" s="141">
        <f>ROUND(((USER_ROTOR_ZERO_DEG_ID_TIME_MS*1000)/USER_FAST_CTRL_LOOP_PERIOD_US),0)</f>
        <v>2000</v>
      </c>
      <c r="Q64" s="142" t="s">
        <v>3</v>
      </c>
    </row>
    <row r="65" spans="2:18" ht="15.75" thickBot="1" x14ac:dyDescent="0.3">
      <c r="B65" s="303"/>
      <c r="C65" s="26"/>
      <c r="D65" s="239"/>
      <c r="E65" s="77"/>
      <c r="O65" s="143" t="s">
        <v>1835</v>
      </c>
      <c r="P65" s="144">
        <f>ROUND(ROTOR_ZERO_DEG_ID_SVPWM_REF/(ROTOR_ZERO_DEG_ID_TIME_MS/6),0)</f>
        <v>3</v>
      </c>
      <c r="Q65" s="145" t="s">
        <v>3</v>
      </c>
    </row>
    <row r="66" spans="2:18" ht="15.75" thickBot="1" x14ac:dyDescent="0.3">
      <c r="B66" s="303"/>
      <c r="C66" s="26"/>
      <c r="D66" s="77"/>
      <c r="E66" s="77"/>
      <c r="O66" s="133"/>
      <c r="P66" s="135"/>
      <c r="Q66" s="136"/>
    </row>
    <row r="67" spans="2:18" ht="15.75" thickBot="1" x14ac:dyDescent="0.3">
      <c r="B67" s="303"/>
      <c r="C67" s="2" t="s">
        <v>168</v>
      </c>
      <c r="D67" s="77"/>
      <c r="E67" s="77"/>
      <c r="O67" s="137" t="s">
        <v>171</v>
      </c>
      <c r="P67" s="146">
        <v>5</v>
      </c>
      <c r="Q67" s="139" t="s">
        <v>3</v>
      </c>
    </row>
    <row r="68" spans="2:18" x14ac:dyDescent="0.25">
      <c r="B68" s="303"/>
      <c r="C68" s="182" t="s">
        <v>169</v>
      </c>
      <c r="D68" s="90">
        <v>6.5000000000000002E-2</v>
      </c>
      <c r="E68" s="61" t="s">
        <v>31</v>
      </c>
      <c r="I68" s="21">
        <v>0</v>
      </c>
      <c r="J68" s="21"/>
      <c r="K68" s="21">
        <f>ROUND((2^(16+IPD_SENSE_PRESCALAR_VAL)/(1000*USER_PCLK_FREQ_MHz)),0)</f>
        <v>22</v>
      </c>
      <c r="O68" s="140" t="s">
        <v>172</v>
      </c>
      <c r="P68" s="141">
        <f>ROUND((USER_ROTOR_IPD_IND_SENSE_PATTERN_ONTIME_mS / (2^IPD_SENSE_PRESCALAR_VAL/(1000*USER_PCLK_FREQ_MHz))),0)</f>
        <v>195</v>
      </c>
      <c r="Q68" s="142" t="s">
        <v>3</v>
      </c>
    </row>
    <row r="69" spans="2:18" ht="15.75" thickBot="1" x14ac:dyDescent="0.3">
      <c r="B69" s="303"/>
      <c r="C69" s="184" t="s">
        <v>170</v>
      </c>
      <c r="D69" s="91">
        <v>6.5000000000000002E-2</v>
      </c>
      <c r="E69" s="63" t="s">
        <v>31</v>
      </c>
      <c r="I69" s="21">
        <v>0</v>
      </c>
      <c r="J69" s="21"/>
      <c r="K69" s="21">
        <f>ROUND((2^(16+IPD_SENSE_PRESCALAR_VAL)/(1000*USER_PCLK_FREQ_MHz)),0)</f>
        <v>22</v>
      </c>
      <c r="O69" s="143" t="s">
        <v>173</v>
      </c>
      <c r="P69" s="144">
        <f>ROUND((USER_ROTOR_IPD_IND_SENSE_CURRENT_DECAY_TIME_mS / (2^IPD_SENSE_PRESCALAR_VAL/(1000*USER_PCLK_FREQ_MHz))),0)</f>
        <v>195</v>
      </c>
      <c r="Q69" s="145" t="s">
        <v>3</v>
      </c>
    </row>
    <row r="70" spans="2:18" x14ac:dyDescent="0.25">
      <c r="B70" s="303"/>
      <c r="C70" s="26"/>
      <c r="D70" s="77"/>
      <c r="E70" s="77"/>
      <c r="O70" s="133"/>
      <c r="P70" s="135"/>
      <c r="Q70" s="136"/>
    </row>
    <row r="71" spans="2:18" ht="15.75" thickBot="1" x14ac:dyDescent="0.3">
      <c r="B71" s="303"/>
      <c r="C71" s="2" t="s">
        <v>148</v>
      </c>
      <c r="D71" s="77"/>
      <c r="E71" s="77"/>
      <c r="O71" s="133"/>
      <c r="P71" s="135"/>
      <c r="Q71" s="136"/>
    </row>
    <row r="72" spans="2:18" x14ac:dyDescent="0.25">
      <c r="B72" s="303"/>
      <c r="C72" s="182" t="s">
        <v>149</v>
      </c>
      <c r="D72" s="10">
        <v>0.2</v>
      </c>
      <c r="E72" s="61" t="s">
        <v>10</v>
      </c>
      <c r="I72" s="21">
        <v>0</v>
      </c>
      <c r="J72" s="21"/>
      <c r="K72" s="21">
        <f>N_V_V</f>
        <v>32</v>
      </c>
      <c r="O72" s="137" t="s">
        <v>147</v>
      </c>
      <c r="P72" s="138">
        <f>ROUND((32767 * USER_VQ_INITIAL_VALUE_V/N_V_V),0)</f>
        <v>205</v>
      </c>
      <c r="Q72" s="139" t="s">
        <v>3</v>
      </c>
    </row>
    <row r="73" spans="2:18" x14ac:dyDescent="0.25">
      <c r="B73" s="303"/>
      <c r="C73" s="183" t="s">
        <v>150</v>
      </c>
      <c r="D73" s="11">
        <v>0.7</v>
      </c>
      <c r="E73" s="62" t="s">
        <v>10</v>
      </c>
      <c r="I73" s="21">
        <v>0</v>
      </c>
      <c r="J73" s="21"/>
      <c r="K73" s="21">
        <f>N_V_V</f>
        <v>32</v>
      </c>
      <c r="O73" s="140" t="s">
        <v>152</v>
      </c>
      <c r="P73" s="147">
        <f>ROUND((32767 * USER_FIRST_KICK_VALUE_V/N_V_V),0)</f>
        <v>717</v>
      </c>
      <c r="Q73" s="142" t="s">
        <v>3</v>
      </c>
    </row>
    <row r="74" spans="2:18" ht="15.75" thickBot="1" x14ac:dyDescent="0.3">
      <c r="B74" s="303"/>
      <c r="C74" s="184" t="s">
        <v>151</v>
      </c>
      <c r="D74" s="12">
        <v>8</v>
      </c>
      <c r="E74" s="63" t="s">
        <v>31</v>
      </c>
      <c r="I74" s="21">
        <v>0</v>
      </c>
      <c r="J74" s="21"/>
      <c r="K74" s="21">
        <f>2^31*USER_FAST_CTRL_LOOP_PERIOD_US/1000</f>
        <v>107374182.40000001</v>
      </c>
      <c r="O74" s="143" t="s">
        <v>153</v>
      </c>
      <c r="P74" s="144">
        <f>ROUND((USER_FIRST_KICK_TIME_mS * 1000 / USER_FAST_CTRL_LOOP_PERIOD_US),0)</f>
        <v>160</v>
      </c>
      <c r="Q74" s="145" t="s">
        <v>3</v>
      </c>
    </row>
    <row r="75" spans="2:18" x14ac:dyDescent="0.25">
      <c r="B75" s="303"/>
      <c r="O75" s="133"/>
      <c r="P75" s="135"/>
      <c r="Q75" s="136"/>
    </row>
    <row r="76" spans="2:18" ht="15.75" thickBot="1" x14ac:dyDescent="0.3">
      <c r="B76" s="303"/>
      <c r="C76" s="69" t="s">
        <v>293</v>
      </c>
      <c r="D76" s="1"/>
      <c r="K76" s="33"/>
      <c r="O76" s="133"/>
      <c r="P76" s="133"/>
      <c r="Q76" s="133"/>
    </row>
    <row r="77" spans="2:18" ht="30" x14ac:dyDescent="0.25">
      <c r="B77" s="303"/>
      <c r="C77" s="188" t="s">
        <v>420</v>
      </c>
      <c r="D77" s="86" t="s">
        <v>298</v>
      </c>
      <c r="E77" s="84" t="s">
        <v>423</v>
      </c>
      <c r="K77" s="33"/>
      <c r="O77" s="133"/>
      <c r="P77" s="133"/>
      <c r="Q77" s="133"/>
    </row>
    <row r="78" spans="2:18" ht="15.75" thickBot="1" x14ac:dyDescent="0.3">
      <c r="B78" s="303"/>
      <c r="C78" s="190" t="s">
        <v>421</v>
      </c>
      <c r="D78" s="88">
        <v>1024</v>
      </c>
      <c r="E78" s="17" t="s">
        <v>424</v>
      </c>
      <c r="K78" s="33"/>
      <c r="O78" s="133"/>
      <c r="P78" s="133"/>
      <c r="Q78" s="133"/>
    </row>
    <row r="79" spans="2:18" ht="15.75" thickBot="1" x14ac:dyDescent="0.3">
      <c r="B79" s="303"/>
      <c r="C79" s="189" t="s">
        <v>422</v>
      </c>
      <c r="D79" s="87" t="s">
        <v>189</v>
      </c>
      <c r="E79" s="85" t="s">
        <v>425</v>
      </c>
      <c r="K79" s="33"/>
      <c r="O79" s="173" t="s">
        <v>426</v>
      </c>
      <c r="P79" s="174">
        <f>IF((USER_SVM_OVERMODULATION="ENABLED"),SVPWM_MAX_OVERMOD_RANGE,SVPWM_MAX_LINEAR_RANGE)</f>
        <v>28377</v>
      </c>
      <c r="Q79" s="175" t="s">
        <v>3</v>
      </c>
    </row>
    <row r="80" spans="2:18" x14ac:dyDescent="0.25">
      <c r="B80" s="303"/>
      <c r="C80" s="32"/>
      <c r="D80" s="1"/>
      <c r="K80" s="33"/>
      <c r="O80" s="140" t="s">
        <v>1751</v>
      </c>
      <c r="P80" s="131">
        <f>ROUND((R80*2^VDC_ADC_TO_mV_SCALE),0)</f>
        <v>16383</v>
      </c>
      <c r="Q80" s="150" t="s">
        <v>3</v>
      </c>
      <c r="R80">
        <f>VAREF_V*1000/(2^12*DC_LINK_DIVIDER_RATIO)</f>
        <v>15.998556142550145</v>
      </c>
    </row>
    <row r="81" spans="2:18" ht="15.75" thickBot="1" x14ac:dyDescent="0.3">
      <c r="B81" s="303"/>
      <c r="C81" s="2" t="s">
        <v>43</v>
      </c>
      <c r="O81" s="143" t="s">
        <v>1752</v>
      </c>
      <c r="P81" s="144">
        <f>ROUND((MIN(14, 14 - LOG(R80,2) )),0)</f>
        <v>10</v>
      </c>
      <c r="Q81" s="145" t="s">
        <v>3</v>
      </c>
    </row>
    <row r="82" spans="2:18" x14ac:dyDescent="0.25">
      <c r="B82" s="303"/>
      <c r="C82" s="182" t="s">
        <v>142</v>
      </c>
      <c r="D82" s="76">
        <f>1000000/USER_CCU8_PWM_FREQ_HZ</f>
        <v>50</v>
      </c>
      <c r="E82" s="14" t="s">
        <v>44</v>
      </c>
      <c r="O82" s="133"/>
      <c r="P82" s="135"/>
      <c r="Q82" s="136"/>
    </row>
    <row r="83" spans="2:18" ht="15.75" thickBot="1" x14ac:dyDescent="0.3">
      <c r="B83" s="303"/>
      <c r="C83" s="184" t="s">
        <v>141</v>
      </c>
      <c r="D83" s="35">
        <v>200</v>
      </c>
      <c r="E83" s="15" t="s">
        <v>44</v>
      </c>
      <c r="O83" s="133"/>
      <c r="P83" s="135"/>
      <c r="Q83" s="136"/>
    </row>
    <row r="84" spans="2:18" x14ac:dyDescent="0.25">
      <c r="B84" s="303"/>
      <c r="C84" s="26"/>
      <c r="O84" s="133"/>
      <c r="P84" s="135"/>
      <c r="Q84" s="136"/>
    </row>
    <row r="85" spans="2:18" ht="15.75" thickBot="1" x14ac:dyDescent="0.3">
      <c r="B85" s="303"/>
      <c r="C85" s="25" t="s">
        <v>58</v>
      </c>
      <c r="O85" s="133"/>
      <c r="P85" s="133"/>
      <c r="Q85" s="133"/>
    </row>
    <row r="86" spans="2:18" x14ac:dyDescent="0.25">
      <c r="B86" s="303"/>
      <c r="C86" s="185" t="s">
        <v>59</v>
      </c>
      <c r="D86" s="34">
        <f>N_V_V</f>
        <v>32</v>
      </c>
      <c r="E86" s="14" t="s">
        <v>10</v>
      </c>
      <c r="I86" s="21">
        <v>0</v>
      </c>
      <c r="J86" s="21">
        <f>N_V_V</f>
        <v>32</v>
      </c>
      <c r="K86" s="21">
        <f>N_V_V</f>
        <v>32</v>
      </c>
      <c r="O86" s="137" t="s">
        <v>66</v>
      </c>
      <c r="P86" s="166">
        <f>ROUND((32767*USER_VQ_REF_HIGH_LIMIT_V/N_V_V),0)</f>
        <v>32767</v>
      </c>
      <c r="Q86" s="149" t="s">
        <v>3</v>
      </c>
    </row>
    <row r="87" spans="2:18" x14ac:dyDescent="0.25">
      <c r="B87" s="303"/>
      <c r="C87" s="119" t="s">
        <v>60</v>
      </c>
      <c r="D87" s="5">
        <v>0</v>
      </c>
      <c r="E87" s="17" t="s">
        <v>10</v>
      </c>
      <c r="F87" t="s">
        <v>1781</v>
      </c>
      <c r="I87" s="21">
        <v>0</v>
      </c>
      <c r="J87" s="21">
        <f>N_V_V*0.05</f>
        <v>1.6</v>
      </c>
      <c r="K87" s="21">
        <f>N_V_V</f>
        <v>32</v>
      </c>
      <c r="O87" s="140" t="s">
        <v>67</v>
      </c>
      <c r="P87" s="132">
        <f>ROUND((USER_VQ_REF_LOW_LIMIT_V*32767/N_V_V),0)</f>
        <v>0</v>
      </c>
      <c r="Q87" s="150" t="s">
        <v>3</v>
      </c>
    </row>
    <row r="88" spans="2:18" x14ac:dyDescent="0.25">
      <c r="B88" s="303"/>
      <c r="C88" s="119" t="s">
        <v>63</v>
      </c>
      <c r="D88" s="5">
        <v>5.0000000000000001E-3</v>
      </c>
      <c r="E88" s="17" t="s">
        <v>10</v>
      </c>
      <c r="F88">
        <v>0.1</v>
      </c>
      <c r="G88">
        <f>ROUND(USER_VDC_LINK_V/SQRT(3),2)</f>
        <v>27.71</v>
      </c>
      <c r="I88" s="21">
        <v>0</v>
      </c>
      <c r="J88" s="21"/>
      <c r="K88" s="21">
        <f>N_V_V</f>
        <v>32</v>
      </c>
      <c r="O88" s="167" t="s">
        <v>61</v>
      </c>
      <c r="P88" s="168">
        <f>ROUND((R88*VQ_RAMP_STEP_TIME_FCL_COUNT),0)</f>
        <v>31</v>
      </c>
      <c r="Q88" s="169" t="s">
        <v>3</v>
      </c>
      <c r="R88">
        <f>(VQ_RAMP_UP_STEP_V*32767/N_V_V)</f>
        <v>5.1198437500000002</v>
      </c>
    </row>
    <row r="89" spans="2:18" ht="15.75" thickBot="1" x14ac:dyDescent="0.3">
      <c r="B89" s="303"/>
      <c r="C89" s="186" t="s">
        <v>64</v>
      </c>
      <c r="D89" s="35">
        <v>2.0000000000000001E-4</v>
      </c>
      <c r="E89" s="15" t="s">
        <v>10</v>
      </c>
      <c r="G89">
        <v>32767</v>
      </c>
      <c r="I89" s="21">
        <v>0</v>
      </c>
      <c r="J89" s="21"/>
      <c r="K89" s="21">
        <f>N_V_V</f>
        <v>32</v>
      </c>
      <c r="O89" s="140" t="s">
        <v>62</v>
      </c>
      <c r="P89" s="131">
        <f>ROUND((R89*VQ_RAMP_STEP_TIME_FCL_COUNT),0)</f>
        <v>1</v>
      </c>
      <c r="Q89" s="150" t="s">
        <v>3</v>
      </c>
      <c r="R89">
        <f>(VQ_RAMP_DOWN_STEP_V*32767/N_V_V)</f>
        <v>0.20479375</v>
      </c>
    </row>
    <row r="90" spans="2:18" ht="15.75" thickBot="1" x14ac:dyDescent="0.3">
      <c r="B90" s="303"/>
      <c r="D90"/>
      <c r="E90" s="1"/>
      <c r="I90" s="21">
        <v>0</v>
      </c>
      <c r="J90" s="21">
        <f>USER_FAST_CTRL_LOOP_PERIOD_US</f>
        <v>50</v>
      </c>
      <c r="K90" s="21">
        <f>32767*USER_FAST_CTRL_LOOP_PERIOD_US</f>
        <v>1638350</v>
      </c>
      <c r="O90" s="143" t="s">
        <v>65</v>
      </c>
      <c r="P90" s="151">
        <v>6</v>
      </c>
      <c r="Q90" s="152" t="s">
        <v>3</v>
      </c>
      <c r="R90">
        <f>MAX((MAX(1/R88,0)),(MAX(1/R89,0)))</f>
        <v>4.8829615161595505</v>
      </c>
    </row>
    <row r="91" spans="2:18" ht="15.75" thickBot="1" x14ac:dyDescent="0.3">
      <c r="B91" s="303"/>
      <c r="C91" s="25" t="s">
        <v>1813</v>
      </c>
      <c r="D91"/>
      <c r="E91" s="1"/>
      <c r="O91" s="133"/>
      <c r="P91" s="133"/>
      <c r="Q91" s="133"/>
    </row>
    <row r="92" spans="2:18" x14ac:dyDescent="0.25">
      <c r="B92" s="300"/>
      <c r="C92" s="208" t="s">
        <v>1814</v>
      </c>
      <c r="D92" s="217">
        <v>20</v>
      </c>
      <c r="E92" s="65" t="s">
        <v>19</v>
      </c>
      <c r="O92" s="218" t="s">
        <v>1815</v>
      </c>
      <c r="P92" s="219">
        <f>ROUND((32767*USER_IQ_CURRENT_ALLOWED_A/N_I_A),0)</f>
        <v>15728</v>
      </c>
      <c r="Q92" s="220" t="s">
        <v>3</v>
      </c>
    </row>
    <row r="93" spans="2:18" x14ac:dyDescent="0.25">
      <c r="B93" s="300"/>
      <c r="C93" s="240" t="s">
        <v>1838</v>
      </c>
      <c r="D93" s="241">
        <v>0</v>
      </c>
      <c r="E93" s="242" t="s">
        <v>19</v>
      </c>
      <c r="O93" s="221" t="s">
        <v>1816</v>
      </c>
      <c r="P93" s="222">
        <f>ROUND((32767*USER_IQ_REF_LOW_LIMIT_A/N_I_A),0)</f>
        <v>0</v>
      </c>
      <c r="Q93" s="223" t="s">
        <v>3</v>
      </c>
    </row>
    <row r="94" spans="2:18" x14ac:dyDescent="0.25">
      <c r="B94" s="300"/>
      <c r="C94" s="200" t="s">
        <v>1817</v>
      </c>
      <c r="D94" s="216">
        <v>0.03</v>
      </c>
      <c r="E94" s="66" t="s">
        <v>19</v>
      </c>
      <c r="O94" s="221" t="s">
        <v>1819</v>
      </c>
      <c r="P94" s="222">
        <f>ROUND((USER_IQ_RAMP_UP_STEP_A/I_MAX_A*32767),0)</f>
        <v>24</v>
      </c>
      <c r="Q94" s="223" t="s">
        <v>3</v>
      </c>
    </row>
    <row r="95" spans="2:18" x14ac:dyDescent="0.25">
      <c r="B95" s="300"/>
      <c r="C95" s="200" t="s">
        <v>1818</v>
      </c>
      <c r="D95" s="216">
        <v>8.0000000000000002E-3</v>
      </c>
      <c r="E95" s="66" t="s">
        <v>19</v>
      </c>
      <c r="O95" s="225" t="s">
        <v>1820</v>
      </c>
      <c r="P95" s="226">
        <f>ROUND((USER_IQ_RAMP_DOWN_STEP_A/I_MAX_A*32767),0)</f>
        <v>6</v>
      </c>
      <c r="Q95" s="227" t="s">
        <v>3</v>
      </c>
    </row>
    <row r="96" spans="2:18" ht="15.75" thickBot="1" x14ac:dyDescent="0.3">
      <c r="B96" s="303"/>
      <c r="C96" s="197" t="s">
        <v>1825</v>
      </c>
      <c r="D96" s="228">
        <v>0.5</v>
      </c>
      <c r="E96" s="67" t="s">
        <v>19</v>
      </c>
      <c r="O96" s="235" t="s">
        <v>1821</v>
      </c>
      <c r="P96" s="236">
        <v>200</v>
      </c>
      <c r="Q96" s="237" t="s">
        <v>3</v>
      </c>
    </row>
    <row r="97" spans="2:18" x14ac:dyDescent="0.25">
      <c r="B97" s="303"/>
      <c r="O97" s="224"/>
      <c r="P97" s="224"/>
      <c r="Q97" s="224"/>
    </row>
    <row r="98" spans="2:18" ht="15.75" thickBot="1" x14ac:dyDescent="0.3">
      <c r="B98" s="303"/>
      <c r="C98" s="25" t="s">
        <v>68</v>
      </c>
      <c r="O98" s="133"/>
      <c r="P98" s="133"/>
      <c r="Q98" s="133"/>
    </row>
    <row r="99" spans="2:18" x14ac:dyDescent="0.25">
      <c r="B99" s="303"/>
      <c r="C99" s="185" t="s">
        <v>69</v>
      </c>
      <c r="D99" s="34">
        <v>4300</v>
      </c>
      <c r="E99" s="14" t="s">
        <v>7</v>
      </c>
      <c r="I99" s="21">
        <v>0</v>
      </c>
      <c r="J99" s="21">
        <f>N_V_V</f>
        <v>32</v>
      </c>
      <c r="K99" s="21">
        <f>N_V_V</f>
        <v>32</v>
      </c>
      <c r="O99" s="137" t="s">
        <v>71</v>
      </c>
      <c r="P99" s="166">
        <f>ROUND((2*PI()*USER_SPEED_REF_HIGH_LIMIT_RPM*USER_MOTOR_POLE_PAIR/(USER_CCU8_PWM_FREQ_HZ*60))*(32767/N_eSpeed_rad_FCL),0)</f>
        <v>32767</v>
      </c>
      <c r="Q99" s="149" t="s">
        <v>3</v>
      </c>
    </row>
    <row r="100" spans="2:18" x14ac:dyDescent="0.25">
      <c r="B100" s="303"/>
      <c r="C100" s="119" t="s">
        <v>70</v>
      </c>
      <c r="D100" s="5">
        <v>100</v>
      </c>
      <c r="E100" s="17" t="s">
        <v>7</v>
      </c>
      <c r="I100" s="21">
        <v>0</v>
      </c>
      <c r="J100" s="21">
        <f>N_V_V*0.05</f>
        <v>1.6</v>
      </c>
      <c r="K100" s="21">
        <f>N_V_V</f>
        <v>32</v>
      </c>
      <c r="O100" s="140" t="s">
        <v>72</v>
      </c>
      <c r="P100" s="131">
        <f>ROUND((2*PI()*USER_SPEED_REF_LOW_LIMIT_RPM*USER_MOTOR_POLE_PAIR/(USER_CCU8_PWM_FREQ_HZ*60))*(32767/N_eSpeed_rad_FCL),0)</f>
        <v>762</v>
      </c>
      <c r="Q100" s="150" t="s">
        <v>3</v>
      </c>
    </row>
    <row r="101" spans="2:18" x14ac:dyDescent="0.25">
      <c r="B101" s="303"/>
      <c r="C101" s="119" t="s">
        <v>487</v>
      </c>
      <c r="D101" s="5">
        <v>10</v>
      </c>
      <c r="E101" s="17" t="s">
        <v>88</v>
      </c>
      <c r="I101" s="21">
        <v>0</v>
      </c>
      <c r="J101" s="21">
        <v>1</v>
      </c>
      <c r="K101" s="21">
        <f>USER_MOTOR_SPEED_HIGH_LIMIT_RPM</f>
        <v>4300</v>
      </c>
      <c r="O101" s="167" t="s">
        <v>73</v>
      </c>
      <c r="P101" s="170">
        <f>ROUND((R101*SPEED_RAMP_STEP_TIME_FCL_COUNT),0)</f>
        <v>1</v>
      </c>
      <c r="Q101" s="169" t="s">
        <v>3</v>
      </c>
      <c r="R101">
        <f>USER_SPEED_RAMP_UP_STEP_RPM*N_eSpeed_T/(USER_MOTOR_SPEED_HIGH_LIMIT_RPM*USER_CCU8_PWM_FREQ_HZ)</f>
        <v>3.8101162790697674E-3</v>
      </c>
    </row>
    <row r="102" spans="2:18" ht="15.75" thickBot="1" x14ac:dyDescent="0.3">
      <c r="B102" s="303"/>
      <c r="C102" s="186" t="s">
        <v>488</v>
      </c>
      <c r="D102" s="35">
        <v>5.0000000000000001E-3</v>
      </c>
      <c r="E102" s="15" t="s">
        <v>88</v>
      </c>
      <c r="I102" s="21">
        <v>0</v>
      </c>
      <c r="J102" s="21">
        <v>1</v>
      </c>
      <c r="K102" s="21">
        <f>USER_MOTOR_SPEED_HIGH_LIMIT_RPM</f>
        <v>4300</v>
      </c>
      <c r="O102" s="140" t="s">
        <v>74</v>
      </c>
      <c r="P102" s="131">
        <f>ROUND((R102*SPEED_RAMP_STEP_TIME_FCL_COUNT),0)</f>
        <v>601</v>
      </c>
      <c r="Q102" s="150" t="s">
        <v>3</v>
      </c>
      <c r="R102">
        <f>(USER_SPEED_RAMP_DOWN_STEP_RPM*N_eSpeed_T/(USER_MOTOR_SPEED_HIGH_LIMIT_RPM/60))</f>
        <v>2.2860697674418606</v>
      </c>
    </row>
    <row r="103" spans="2:18" ht="15.75" thickBot="1" x14ac:dyDescent="0.3">
      <c r="B103" s="303"/>
      <c r="D103"/>
      <c r="E103" s="1"/>
      <c r="I103" s="21">
        <v>0</v>
      </c>
      <c r="J103" s="21">
        <f>USER_FAST_CTRL_LOOP_PERIOD_US</f>
        <v>50</v>
      </c>
      <c r="K103" s="21">
        <f>32767*USER_FAST_CTRL_LOOP_PERIOD_US</f>
        <v>1638350</v>
      </c>
      <c r="O103" s="143" t="s">
        <v>75</v>
      </c>
      <c r="P103" s="151">
        <f>ROUND(R103,0)+1</f>
        <v>263</v>
      </c>
      <c r="Q103" s="152" t="s">
        <v>3</v>
      </c>
      <c r="R103">
        <f>MAX((MAX(1/R101,0)),(MAX(1/R102,0)))</f>
        <v>262.45918149357584</v>
      </c>
    </row>
    <row r="104" spans="2:18" ht="15.75" thickBot="1" x14ac:dyDescent="0.3">
      <c r="B104" s="303"/>
      <c r="C104" s="25" t="s">
        <v>428</v>
      </c>
      <c r="D104"/>
      <c r="E104" s="1"/>
      <c r="O104" s="133"/>
      <c r="P104" s="133"/>
      <c r="Q104" s="133"/>
    </row>
    <row r="105" spans="2:18" x14ac:dyDescent="0.25">
      <c r="B105" s="303"/>
      <c r="C105" s="185" t="s">
        <v>429</v>
      </c>
      <c r="D105" s="58" t="s">
        <v>189</v>
      </c>
      <c r="E105" s="65" t="s">
        <v>425</v>
      </c>
      <c r="O105" s="133"/>
      <c r="P105" s="133"/>
      <c r="Q105" s="133"/>
    </row>
    <row r="106" spans="2:18" x14ac:dyDescent="0.25">
      <c r="B106" s="303"/>
      <c r="C106" s="119" t="s">
        <v>430</v>
      </c>
      <c r="D106" s="59" t="s">
        <v>188</v>
      </c>
      <c r="E106" s="66" t="s">
        <v>425</v>
      </c>
      <c r="O106" s="133"/>
      <c r="P106" s="133"/>
      <c r="Q106" s="133"/>
    </row>
    <row r="107" spans="2:18" ht="15.75" thickBot="1" x14ac:dyDescent="0.3">
      <c r="B107" s="303"/>
      <c r="C107" s="186" t="s">
        <v>431</v>
      </c>
      <c r="D107" s="68" t="s">
        <v>188</v>
      </c>
      <c r="E107" s="67" t="s">
        <v>425</v>
      </c>
      <c r="O107" s="133"/>
      <c r="P107" s="133"/>
      <c r="Q107" s="133"/>
    </row>
    <row r="108" spans="2:18" x14ac:dyDescent="0.25">
      <c r="B108" s="303"/>
      <c r="O108" s="133"/>
      <c r="P108" s="133"/>
      <c r="Q108" s="133"/>
    </row>
    <row r="109" spans="2:18" ht="15.75" thickBot="1" x14ac:dyDescent="0.3">
      <c r="B109" s="303"/>
      <c r="C109" s="25" t="s">
        <v>434</v>
      </c>
      <c r="O109" s="133"/>
      <c r="P109" s="133"/>
      <c r="Q109" s="133"/>
    </row>
    <row r="110" spans="2:18" ht="15.75" thickBot="1" x14ac:dyDescent="0.3">
      <c r="B110" s="303"/>
      <c r="C110" s="187" t="s">
        <v>435</v>
      </c>
      <c r="D110" s="89" t="s">
        <v>189</v>
      </c>
      <c r="E110" s="92" t="s">
        <v>425</v>
      </c>
      <c r="O110" s="133"/>
      <c r="P110" s="133"/>
      <c r="Q110" s="133"/>
    </row>
    <row r="111" spans="2:18" x14ac:dyDescent="0.25">
      <c r="B111" s="303"/>
      <c r="O111" s="133"/>
      <c r="P111" s="133"/>
      <c r="Q111" s="133"/>
    </row>
    <row r="112" spans="2:18" x14ac:dyDescent="0.25">
      <c r="B112" s="303"/>
      <c r="D112" s="207"/>
      <c r="O112" s="133"/>
      <c r="P112" s="133"/>
      <c r="Q112" s="133"/>
    </row>
    <row r="113" spans="2:19" ht="15.75" thickBot="1" x14ac:dyDescent="0.3">
      <c r="B113" s="303"/>
      <c r="C113" s="25" t="s">
        <v>39</v>
      </c>
      <c r="O113" s="133"/>
      <c r="P113" s="133"/>
      <c r="Q113" s="133"/>
    </row>
    <row r="114" spans="2:19" x14ac:dyDescent="0.25">
      <c r="B114" s="303"/>
      <c r="C114" s="185" t="s">
        <v>492</v>
      </c>
      <c r="D114" s="103">
        <v>500</v>
      </c>
      <c r="E114" s="14" t="s">
        <v>9</v>
      </c>
      <c r="F114">
        <v>500</v>
      </c>
      <c r="O114" s="131" t="s">
        <v>219</v>
      </c>
      <c r="P114" s="131">
        <f>ROUND((USER_PI_FLUX_KP*(N_I_A/N_V_V)*2^PI_FLUX_SCALE_KPKI),0)</f>
        <v>3385</v>
      </c>
      <c r="Q114" s="131" t="s">
        <v>3</v>
      </c>
    </row>
    <row r="115" spans="2:19" x14ac:dyDescent="0.25">
      <c r="B115" s="303"/>
      <c r="C115" s="119" t="s">
        <v>493</v>
      </c>
      <c r="D115" s="104">
        <v>0.70699999999999996</v>
      </c>
      <c r="E115" s="17" t="s">
        <v>3</v>
      </c>
      <c r="I115" s="31"/>
      <c r="J115" s="31">
        <v>500</v>
      </c>
      <c r="K115" s="31"/>
      <c r="O115" s="131" t="s">
        <v>220</v>
      </c>
      <c r="P115" s="131">
        <f>ROUND((USER_PI_FLUX_KI*(N_I_A/N_V_V)*2^PI_FLUX_SCALE_KPKI)/USER_CCU8_PWM_FREQ_HZ,0)</f>
        <v>117</v>
      </c>
      <c r="Q115" s="131" t="s">
        <v>3</v>
      </c>
    </row>
    <row r="116" spans="2:19" x14ac:dyDescent="0.25">
      <c r="B116" s="303"/>
      <c r="C116" s="119" t="s">
        <v>98</v>
      </c>
      <c r="D116" s="104">
        <f>J117</f>
        <v>0.31730085801256908</v>
      </c>
      <c r="E116" s="17" t="s">
        <v>3</v>
      </c>
      <c r="I116" s="31"/>
      <c r="J116" s="31">
        <v>0.70699999999999996</v>
      </c>
      <c r="K116" s="31"/>
      <c r="O116" s="131" t="s">
        <v>218</v>
      </c>
      <c r="P116" s="131">
        <f>MIN((13-ROUNDUP((LOG((USER_PI_FLUX_KP*N_I_A/N_V_V),2)),0)),13)</f>
        <v>13</v>
      </c>
      <c r="Q116" s="131" t="s">
        <v>3</v>
      </c>
      <c r="S116" t="s">
        <v>42</v>
      </c>
    </row>
    <row r="117" spans="2:19" x14ac:dyDescent="0.25">
      <c r="B117" s="303"/>
      <c r="C117" s="119" t="s">
        <v>99</v>
      </c>
      <c r="D117" s="104">
        <f>J118</f>
        <v>219.91148575128551</v>
      </c>
      <c r="E117" s="17" t="s">
        <v>3</v>
      </c>
      <c r="I117" s="31"/>
      <c r="J117" s="31">
        <f>(2*PI()*USER_PI_FLUX_BW_HZ*(USER_MOTOR_LD_PER_PHASE_uH*0.000001))</f>
        <v>0.31730085801256908</v>
      </c>
      <c r="K117" s="31"/>
      <c r="O117" s="131" t="s">
        <v>222</v>
      </c>
      <c r="P117" s="131">
        <f>ROUND((USER_PI_FLUX_UK_LIMIT_MAX*2^15/N_V_V)-1,0)</f>
        <v>32767</v>
      </c>
      <c r="Q117" s="131" t="s">
        <v>3</v>
      </c>
    </row>
    <row r="118" spans="2:19" x14ac:dyDescent="0.25">
      <c r="B118" s="303"/>
      <c r="C118" s="119" t="s">
        <v>101</v>
      </c>
      <c r="D118" s="104">
        <f>J119</f>
        <v>32</v>
      </c>
      <c r="E118" s="17" t="s">
        <v>10</v>
      </c>
      <c r="I118" s="31"/>
      <c r="J118" s="31">
        <f xml:space="preserve">  (2*PI()*USER_PI_FLUX_BW_HZ*USER_MOTOR_R_PER_PHASE_OHM)</f>
        <v>219.91148575128551</v>
      </c>
      <c r="K118" s="31"/>
      <c r="O118" s="131" t="s">
        <v>221</v>
      </c>
      <c r="P118" s="131">
        <f>ROUND((USER_PI_FLUX_UK_LIMIT_MIN*2^15/N_V_V),0)</f>
        <v>-32768</v>
      </c>
      <c r="Q118" s="131" t="s">
        <v>3</v>
      </c>
    </row>
    <row r="119" spans="2:19" x14ac:dyDescent="0.25">
      <c r="B119" s="303"/>
      <c r="C119" s="119" t="s">
        <v>100</v>
      </c>
      <c r="D119" s="104">
        <f>J120</f>
        <v>-32</v>
      </c>
      <c r="E119" s="17" t="s">
        <v>10</v>
      </c>
      <c r="I119" s="31">
        <v>0</v>
      </c>
      <c r="J119" s="31">
        <f>N_V_V</f>
        <v>32</v>
      </c>
      <c r="K119" s="31">
        <f>N_V_V</f>
        <v>32</v>
      </c>
      <c r="O119" s="131" t="s">
        <v>224</v>
      </c>
      <c r="P119" s="131">
        <f>ROUND((PI_FLUX_UK_LIMIT_MAX*2^PI_FLUX_SCALE_KPKI),0)</f>
        <v>268427264</v>
      </c>
      <c r="Q119" s="131" t="s">
        <v>3</v>
      </c>
      <c r="R119">
        <f>LOG(PI_FLUX_IK_LIMIT_MAX,2)</f>
        <v>27.999955971769563</v>
      </c>
      <c r="S119" t="s">
        <v>96</v>
      </c>
    </row>
    <row r="120" spans="2:19" ht="15.75" thickBot="1" x14ac:dyDescent="0.3">
      <c r="B120" s="303"/>
      <c r="C120" s="186" t="s">
        <v>497</v>
      </c>
      <c r="D120" s="115" t="s">
        <v>188</v>
      </c>
      <c r="E120" s="15" t="s">
        <v>425</v>
      </c>
      <c r="I120" s="31">
        <v>0</v>
      </c>
      <c r="J120" s="31">
        <f>-N_V_V</f>
        <v>-32</v>
      </c>
      <c r="K120" s="31">
        <f>-N_V_V</f>
        <v>-32</v>
      </c>
      <c r="O120" s="131" t="s">
        <v>223</v>
      </c>
      <c r="P120" s="131">
        <f>ROUND((-ABS(PI_FLUX_UK_LIMIT_MIN)*2^PI_FLUX_SCALE_KPKI),0)</f>
        <v>-268435456</v>
      </c>
      <c r="Q120" s="131" t="s">
        <v>3</v>
      </c>
      <c r="R120">
        <f>LOG(ABS(PI_FLUX_IK_LIMIT_MIN),2)</f>
        <v>28</v>
      </c>
      <c r="S120" t="s">
        <v>97</v>
      </c>
    </row>
    <row r="121" spans="2:19" x14ac:dyDescent="0.25">
      <c r="B121" s="303"/>
      <c r="O121" s="133"/>
      <c r="P121" s="133"/>
      <c r="Q121" s="133"/>
    </row>
    <row r="122" spans="2:19" ht="15.75" thickBot="1" x14ac:dyDescent="0.3">
      <c r="B122" s="303"/>
      <c r="C122" s="25" t="s">
        <v>40</v>
      </c>
      <c r="O122" s="133"/>
      <c r="P122" s="133"/>
      <c r="Q122" s="133"/>
    </row>
    <row r="123" spans="2:19" x14ac:dyDescent="0.25">
      <c r="B123" s="303"/>
      <c r="C123" s="185" t="s">
        <v>494</v>
      </c>
      <c r="D123" s="113">
        <v>500</v>
      </c>
      <c r="E123" s="14" t="s">
        <v>9</v>
      </c>
      <c r="I123" s="31"/>
      <c r="J123" s="31">
        <v>500</v>
      </c>
      <c r="K123" s="31"/>
      <c r="O123" s="133"/>
      <c r="P123" s="133"/>
      <c r="Q123" s="133"/>
    </row>
    <row r="124" spans="2:19" x14ac:dyDescent="0.25">
      <c r="B124" s="303"/>
      <c r="C124" s="119" t="s">
        <v>495</v>
      </c>
      <c r="D124" s="101">
        <f>J124</f>
        <v>0.70699999999999996</v>
      </c>
      <c r="E124" s="17" t="s">
        <v>3</v>
      </c>
      <c r="I124" s="31"/>
      <c r="J124" s="31">
        <v>0.70699999999999996</v>
      </c>
      <c r="K124" s="31"/>
      <c r="O124" s="133"/>
      <c r="P124" s="133"/>
      <c r="Q124" s="133"/>
    </row>
    <row r="125" spans="2:19" x14ac:dyDescent="0.25">
      <c r="B125" s="303"/>
      <c r="C125" s="119" t="s">
        <v>102</v>
      </c>
      <c r="D125" s="101">
        <f>J125</f>
        <v>0.31730085801256908</v>
      </c>
      <c r="E125" s="17" t="s">
        <v>3</v>
      </c>
      <c r="I125" s="31"/>
      <c r="J125" s="31">
        <f>(2*PI()*USER_PI_FLUX_BW_HZ*(USER_MOTOR_LD_PER_PHASE_uH*0.000001))</f>
        <v>0.31730085801256908</v>
      </c>
      <c r="K125" s="31"/>
      <c r="O125" s="131" t="s">
        <v>216</v>
      </c>
      <c r="P125" s="131">
        <f>ROUND((USER_PI_TORQUE_KP*(N_I_A/N_V_V)*2^PI_TORQUE_SCALE_KPKI),0)</f>
        <v>3385</v>
      </c>
      <c r="Q125" s="131" t="s">
        <v>3</v>
      </c>
    </row>
    <row r="126" spans="2:19" x14ac:dyDescent="0.25">
      <c r="B126" s="303"/>
      <c r="C126" s="119" t="s">
        <v>103</v>
      </c>
      <c r="D126" s="101">
        <f xml:space="preserve"> J126</f>
        <v>219.91148575128551</v>
      </c>
      <c r="E126" s="17" t="s">
        <v>3</v>
      </c>
      <c r="I126" s="31"/>
      <c r="J126" s="31">
        <f xml:space="preserve"> (2*PI()*USER_PI_TORQUE_BW_HZ*USER_MOTOR_R_PER_PHASE_OHM)</f>
        <v>219.91148575128551</v>
      </c>
      <c r="K126" s="31"/>
      <c r="O126" s="131" t="s">
        <v>217</v>
      </c>
      <c r="P126" s="131">
        <f>ROUND((USER_PI_TORQUE_KI*(N_I_A/N_V_V)*2^PI_TORQUE_SCALE_KPKI)/USER_CCU8_PWM_FREQ_HZ,0)</f>
        <v>117</v>
      </c>
      <c r="Q126" s="131" t="s">
        <v>3</v>
      </c>
    </row>
    <row r="127" spans="2:19" x14ac:dyDescent="0.25">
      <c r="B127" s="303"/>
      <c r="C127" s="119" t="s">
        <v>105</v>
      </c>
      <c r="D127" s="101">
        <f>J127</f>
        <v>32</v>
      </c>
      <c r="E127" s="17" t="s">
        <v>10</v>
      </c>
      <c r="I127" s="31">
        <v>0</v>
      </c>
      <c r="J127" s="31">
        <f>N_V_V</f>
        <v>32</v>
      </c>
      <c r="K127" s="31">
        <f>N_V_V</f>
        <v>32</v>
      </c>
      <c r="O127" s="131" t="s">
        <v>215</v>
      </c>
      <c r="P127" s="131">
        <f>MIN((13-ROUNDUP((LOG((USER_PI_TORQUE_KP*N_I_A/N_V_V),2)),0)),13)</f>
        <v>13</v>
      </c>
      <c r="Q127" s="131" t="s">
        <v>3</v>
      </c>
      <c r="S127" t="s">
        <v>42</v>
      </c>
    </row>
    <row r="128" spans="2:19" x14ac:dyDescent="0.25">
      <c r="B128" s="303"/>
      <c r="C128" s="119" t="s">
        <v>104</v>
      </c>
      <c r="D128" s="101">
        <f>J128</f>
        <v>-32</v>
      </c>
      <c r="E128" s="17" t="s">
        <v>10</v>
      </c>
      <c r="I128" s="31">
        <v>0</v>
      </c>
      <c r="J128" s="31">
        <f>-N_V_V</f>
        <v>-32</v>
      </c>
      <c r="K128" s="31">
        <f>-N_V_V</f>
        <v>-32</v>
      </c>
      <c r="O128" s="131" t="s">
        <v>212</v>
      </c>
      <c r="P128" s="131">
        <f>ROUND((USER_PI_TORQUE_UK_LIMIT_MAX*2^15/N_V_V)-1,0)</f>
        <v>32767</v>
      </c>
      <c r="Q128" s="131" t="s">
        <v>3</v>
      </c>
    </row>
    <row r="129" spans="2:19" ht="15.75" thickBot="1" x14ac:dyDescent="0.3">
      <c r="B129" s="303"/>
      <c r="C129" s="186" t="s">
        <v>498</v>
      </c>
      <c r="D129" s="114" t="s">
        <v>188</v>
      </c>
      <c r="E129" s="15" t="s">
        <v>425</v>
      </c>
      <c r="O129" s="131" t="s">
        <v>211</v>
      </c>
      <c r="P129" s="131">
        <f>ROUND((USER_PI_TORQUE_UK_LIMIT_MIN*2^15/N_V_V),0)</f>
        <v>-32768</v>
      </c>
      <c r="Q129" s="131" t="s">
        <v>3</v>
      </c>
    </row>
    <row r="130" spans="2:19" x14ac:dyDescent="0.25">
      <c r="B130" s="303"/>
      <c r="D130"/>
      <c r="E130" s="1"/>
      <c r="O130" s="131" t="s">
        <v>214</v>
      </c>
      <c r="P130" s="131">
        <f>ROUND((PI_TORQUE_UK_LIMIT_MAX*2^PI_TORQUE_SCALE_KPKI),0)</f>
        <v>268427264</v>
      </c>
      <c r="Q130" s="131" t="s">
        <v>3</v>
      </c>
      <c r="R130">
        <f>LOG(PI_TORQUE_IK_LIMIT_MAX,2)</f>
        <v>27.999955971769563</v>
      </c>
      <c r="S130" t="s">
        <v>96</v>
      </c>
    </row>
    <row r="131" spans="2:19" x14ac:dyDescent="0.25">
      <c r="B131" s="303"/>
      <c r="D131"/>
      <c r="E131" s="1"/>
      <c r="O131" s="131" t="s">
        <v>213</v>
      </c>
      <c r="P131" s="131">
        <f>ROUND((-ABS(PI_TORQUE_UK_LIMIT_MIN)*2^PI_TORQUE_SCALE_KPKI),0)</f>
        <v>-268435456</v>
      </c>
      <c r="Q131" s="131" t="s">
        <v>3</v>
      </c>
      <c r="R131">
        <f>LOG(ABS(PI_TORQUE_IK_LIMIT_MIN),2)</f>
        <v>28</v>
      </c>
      <c r="S131" t="s">
        <v>97</v>
      </c>
    </row>
    <row r="132" spans="2:19" x14ac:dyDescent="0.25">
      <c r="B132" s="303"/>
      <c r="D132" s="30"/>
      <c r="O132" s="133"/>
      <c r="P132" s="133"/>
      <c r="Q132" s="133"/>
    </row>
    <row r="133" spans="2:19" ht="15.75" thickBot="1" x14ac:dyDescent="0.3">
      <c r="B133" s="303"/>
      <c r="C133" s="25" t="s">
        <v>106</v>
      </c>
      <c r="O133" s="133"/>
      <c r="P133" s="133"/>
      <c r="Q133" s="133"/>
    </row>
    <row r="134" spans="2:19" x14ac:dyDescent="0.25">
      <c r="B134" s="303"/>
      <c r="C134" s="185" t="s">
        <v>107</v>
      </c>
      <c r="D134" s="34">
        <v>70</v>
      </c>
      <c r="E134" s="14" t="s">
        <v>3</v>
      </c>
      <c r="I134" s="31"/>
      <c r="J134" s="31"/>
      <c r="K134" s="31"/>
      <c r="O134" s="131" t="s">
        <v>225</v>
      </c>
      <c r="P134" s="131">
        <f>ROUND((USER_PI_SPEED_KP*(N_V_V/N_I_A)*2^PI_SPEED_SCALE_KPKI),0)</f>
        <v>6881</v>
      </c>
      <c r="Q134" s="131" t="s">
        <v>3</v>
      </c>
    </row>
    <row r="135" spans="2:19" x14ac:dyDescent="0.25">
      <c r="B135" s="303"/>
      <c r="C135" s="119" t="s">
        <v>108</v>
      </c>
      <c r="D135" s="5">
        <v>0.6</v>
      </c>
      <c r="E135" s="17" t="s">
        <v>3</v>
      </c>
      <c r="I135" s="31"/>
      <c r="J135" s="31"/>
      <c r="K135" s="31"/>
      <c r="O135" s="131" t="s">
        <v>226</v>
      </c>
      <c r="P135" s="131">
        <f>ROUNDUP((USER_PI_SPEED_KI*(N_V_V/N_I_A)*2^PI_SPEED_SCALE_KPKI)*USER_SLOW_CTRL_LOOP_PERIOD_US/10^6,0)</f>
        <v>1</v>
      </c>
      <c r="Q135" s="131" t="s">
        <v>3</v>
      </c>
    </row>
    <row r="136" spans="2:19" x14ac:dyDescent="0.25">
      <c r="B136" s="303"/>
      <c r="C136" s="119" t="s">
        <v>109</v>
      </c>
      <c r="D136" s="5">
        <f>N_I_A</f>
        <v>41.666666666666671</v>
      </c>
      <c r="E136" s="17" t="s">
        <v>19</v>
      </c>
      <c r="I136" s="31">
        <v>0</v>
      </c>
      <c r="J136" s="31">
        <f>N_I_A</f>
        <v>41.666666666666671</v>
      </c>
      <c r="K136" s="31">
        <f>N_I_A</f>
        <v>41.666666666666671</v>
      </c>
      <c r="O136" s="131" t="s">
        <v>227</v>
      </c>
      <c r="P136" s="131">
        <f>MIN((13-ROUNDUP((LOG((USER_PI_SPEED_KP*N_V_V/N_I_A),2)),0)),13)</f>
        <v>7</v>
      </c>
      <c r="Q136" s="131" t="s">
        <v>3</v>
      </c>
      <c r="S136" t="s">
        <v>42</v>
      </c>
    </row>
    <row r="137" spans="2:19" x14ac:dyDescent="0.25">
      <c r="B137" s="303"/>
      <c r="C137" s="119" t="s">
        <v>110</v>
      </c>
      <c r="D137" s="5">
        <v>0</v>
      </c>
      <c r="E137" s="17" t="s">
        <v>19</v>
      </c>
      <c r="I137" s="31">
        <v>0</v>
      </c>
      <c r="J137" s="31">
        <v>0</v>
      </c>
      <c r="K137" s="31">
        <f>-N_I_A</f>
        <v>-41.666666666666671</v>
      </c>
      <c r="O137" s="131" t="s">
        <v>228</v>
      </c>
      <c r="P137" s="131">
        <f>ROUND((USER_PI_SPEED_UK_LIMIT_MAX*2^15/N_I_A)-1,0)</f>
        <v>32767</v>
      </c>
      <c r="Q137" s="131" t="s">
        <v>3</v>
      </c>
    </row>
    <row r="138" spans="2:19" ht="15.75" thickBot="1" x14ac:dyDescent="0.3">
      <c r="B138" s="303"/>
      <c r="C138" s="186" t="s">
        <v>499</v>
      </c>
      <c r="D138" s="115" t="s">
        <v>188</v>
      </c>
      <c r="E138" s="15" t="s">
        <v>425</v>
      </c>
      <c r="O138" s="131" t="s">
        <v>229</v>
      </c>
      <c r="P138" s="131">
        <f>ROUND((USER_PI_SPEED_UK_LIMIT_MIN*2^15/N_I_A),0)</f>
        <v>0</v>
      </c>
      <c r="Q138" s="131" t="s">
        <v>3</v>
      </c>
    </row>
    <row r="139" spans="2:19" x14ac:dyDescent="0.25">
      <c r="B139" s="303"/>
      <c r="D139"/>
      <c r="E139" s="1"/>
      <c r="I139" s="105"/>
      <c r="J139" s="105"/>
      <c r="K139" s="105"/>
      <c r="O139" s="131" t="s">
        <v>230</v>
      </c>
      <c r="P139" s="131">
        <f>ROUND((PI_SPEED_UK_LIMIT_MAX*2^PI_SPEED_SCALE_KPKI),0)</f>
        <v>4194176</v>
      </c>
      <c r="Q139" s="131" t="s">
        <v>3</v>
      </c>
      <c r="R139">
        <f>LOG(PI_SPEED_IK_LIMIT_MAX,2)</f>
        <v>21.999955971769559</v>
      </c>
      <c r="S139" t="s">
        <v>96</v>
      </c>
    </row>
    <row r="140" spans="2:19" x14ac:dyDescent="0.25">
      <c r="B140" s="303"/>
      <c r="D140"/>
      <c r="E140" s="1"/>
      <c r="I140" s="105"/>
      <c r="J140" s="105"/>
      <c r="K140" s="105"/>
      <c r="O140" s="131" t="s">
        <v>231</v>
      </c>
      <c r="P140" s="131">
        <f>ROUND((-ABS(PI_TORQUE_UK_LIMIT_MIN)*2^PI_SPEED_SCALE_KPKI),0)</f>
        <v>-4194304</v>
      </c>
      <c r="Q140" s="131" t="s">
        <v>3</v>
      </c>
      <c r="R140">
        <f>LOG(ABS(PI_SPEED_IK_LIMIT_MIN),2)</f>
        <v>22</v>
      </c>
      <c r="S140" t="s">
        <v>97</v>
      </c>
    </row>
    <row r="141" spans="2:19" x14ac:dyDescent="0.25">
      <c r="B141" s="303"/>
      <c r="D141" s="30"/>
      <c r="O141" s="133"/>
      <c r="P141" s="133"/>
      <c r="Q141" s="133"/>
    </row>
    <row r="142" spans="2:19" ht="15.75" thickBot="1" x14ac:dyDescent="0.3">
      <c r="B142" s="303"/>
      <c r="C142" s="25" t="s">
        <v>116</v>
      </c>
      <c r="D142" s="30"/>
      <c r="O142" s="133"/>
      <c r="P142" s="133"/>
      <c r="Q142" s="133"/>
    </row>
    <row r="143" spans="2:19" x14ac:dyDescent="0.25">
      <c r="B143" s="303"/>
      <c r="C143" s="185" t="s">
        <v>466</v>
      </c>
      <c r="D143" s="116" t="s">
        <v>189</v>
      </c>
      <c r="E143" s="14" t="s">
        <v>425</v>
      </c>
      <c r="O143" s="133"/>
      <c r="P143" s="133"/>
      <c r="Q143" s="133"/>
    </row>
    <row r="144" spans="2:19" x14ac:dyDescent="0.25">
      <c r="B144" s="303"/>
      <c r="C144" s="119" t="s">
        <v>200</v>
      </c>
      <c r="D144" s="79">
        <f>J144</f>
        <v>27.712812799999998</v>
      </c>
      <c r="E144" s="17" t="s">
        <v>10</v>
      </c>
      <c r="I144" s="21">
        <v>0</v>
      </c>
      <c r="J144" s="78">
        <f>N_V_V*0.8660254</f>
        <v>27.712812799999998</v>
      </c>
      <c r="K144" s="21">
        <f>N_V_V</f>
        <v>32</v>
      </c>
      <c r="O144" s="131" t="s">
        <v>198</v>
      </c>
      <c r="P144" s="131">
        <f>ROUND((USER_FW_MAX_VREF*32767/N_V_V),0)</f>
        <v>28377</v>
      </c>
      <c r="Q144" s="131" t="s">
        <v>3</v>
      </c>
    </row>
    <row r="145" spans="2:19" x14ac:dyDescent="0.25">
      <c r="B145" s="303"/>
      <c r="C145" s="119" t="s">
        <v>192</v>
      </c>
      <c r="D145" s="79">
        <v>-5</v>
      </c>
      <c r="E145" s="17" t="s">
        <v>19</v>
      </c>
      <c r="I145" s="21">
        <v>0</v>
      </c>
      <c r="J145" s="21"/>
      <c r="K145" s="21">
        <f>-N_I_A</f>
        <v>-41.666666666666671</v>
      </c>
      <c r="O145" s="131" t="s">
        <v>199</v>
      </c>
      <c r="P145" s="131">
        <f>ROUND((USER_LIMIT_FW_MAX_NEG_ID_REF_A * 32767/I_MAX_A),0)</f>
        <v>-3932</v>
      </c>
      <c r="Q145" s="131" t="s">
        <v>3</v>
      </c>
    </row>
    <row r="146" spans="2:19" x14ac:dyDescent="0.25">
      <c r="B146" s="303"/>
      <c r="C146" s="119" t="s">
        <v>193</v>
      </c>
      <c r="D146" s="79">
        <v>40</v>
      </c>
      <c r="E146" s="17" t="s">
        <v>19</v>
      </c>
      <c r="I146" s="21">
        <v>0</v>
      </c>
      <c r="J146" s="21"/>
      <c r="K146" s="21">
        <f>N_I_A</f>
        <v>41.666666666666671</v>
      </c>
      <c r="O146" s="131" t="s">
        <v>196</v>
      </c>
      <c r="P146" s="131">
        <f>ROUND((USER_FW_DISABLE_IQ_LIMIT_A * 32767/I_MAX_A),0)</f>
        <v>31456</v>
      </c>
      <c r="Q146" s="131" t="s">
        <v>3</v>
      </c>
    </row>
    <row r="147" spans="2:19" ht="15.75" thickBot="1" x14ac:dyDescent="0.3">
      <c r="B147" s="303"/>
      <c r="C147" s="186" t="s">
        <v>194</v>
      </c>
      <c r="D147" s="80">
        <v>5</v>
      </c>
      <c r="E147" s="15" t="s">
        <v>3</v>
      </c>
      <c r="I147" s="21">
        <v>0</v>
      </c>
      <c r="J147" s="21">
        <v>5</v>
      </c>
      <c r="K147" s="21">
        <v>10</v>
      </c>
      <c r="O147" s="131" t="s">
        <v>195</v>
      </c>
      <c r="P147" s="132">
        <f>ROUND((FW_ID_REF_NEG_MAX * 32767 / (VQ_REF_HIGH_LIMIT + 1 - FW_MAX_VREF)),0)</f>
        <v>-29342</v>
      </c>
      <c r="Q147" s="131" t="s">
        <v>3</v>
      </c>
    </row>
    <row r="148" spans="2:19" x14ac:dyDescent="0.25">
      <c r="B148" s="303"/>
      <c r="O148" s="133"/>
      <c r="P148" s="133"/>
      <c r="Q148" s="133"/>
    </row>
    <row r="149" spans="2:19" x14ac:dyDescent="0.25">
      <c r="B149" s="303"/>
      <c r="D149" s="30"/>
      <c r="O149" s="133"/>
      <c r="P149" s="133"/>
      <c r="Q149" s="133"/>
    </row>
    <row r="150" spans="2:19" ht="15.75" thickBot="1" x14ac:dyDescent="0.3">
      <c r="B150" s="303"/>
      <c r="C150" s="25" t="s">
        <v>111</v>
      </c>
      <c r="O150" s="133"/>
      <c r="P150" s="133"/>
      <c r="Q150" s="133"/>
    </row>
    <row r="151" spans="2:19" x14ac:dyDescent="0.25">
      <c r="B151" s="303"/>
      <c r="C151" s="185" t="s">
        <v>112</v>
      </c>
      <c r="D151" s="102">
        <v>2.4299999999999999E-2</v>
      </c>
      <c r="E151" s="14" t="s">
        <v>3</v>
      </c>
      <c r="I151" s="31"/>
      <c r="J151" s="31"/>
      <c r="K151" s="31"/>
      <c r="O151" s="131" t="s">
        <v>232</v>
      </c>
      <c r="P151" s="131">
        <f>ROUND((USER_PI_FW_KP*(N_V_V/N_I_A)*2^PI_FW_SCALE_KPKI),0)</f>
        <v>153</v>
      </c>
      <c r="Q151" s="131" t="s">
        <v>3</v>
      </c>
    </row>
    <row r="152" spans="2:19" x14ac:dyDescent="0.25">
      <c r="B152" s="303"/>
      <c r="C152" s="119" t="s">
        <v>113</v>
      </c>
      <c r="D152" s="104">
        <v>3.3999999999999998E-3</v>
      </c>
      <c r="E152" s="17" t="s">
        <v>3</v>
      </c>
      <c r="I152" s="31"/>
      <c r="J152" s="31"/>
      <c r="K152" s="31"/>
      <c r="O152" s="131" t="s">
        <v>233</v>
      </c>
      <c r="P152" s="131">
        <f>ROUND((USER_PI_FW_KI*(N_V_V/N_I_A)*2^PI_FW_SCALE_KPKI),0)</f>
        <v>21</v>
      </c>
      <c r="Q152" s="131" t="s">
        <v>3</v>
      </c>
    </row>
    <row r="153" spans="2:19" x14ac:dyDescent="0.25">
      <c r="B153" s="303"/>
      <c r="C153" s="119" t="s">
        <v>114</v>
      </c>
      <c r="D153" s="104">
        <v>1E-3</v>
      </c>
      <c r="E153" s="17" t="s">
        <v>19</v>
      </c>
      <c r="I153" s="31">
        <v>0</v>
      </c>
      <c r="J153" s="31">
        <v>0</v>
      </c>
      <c r="K153" s="31">
        <v>0</v>
      </c>
      <c r="O153" s="131" t="s">
        <v>234</v>
      </c>
      <c r="P153" s="131">
        <f>MIN((13-ROUNDUP((LOG((USER_PI_FW_KP*N_V_V/N_I_A),2)),0)),13)</f>
        <v>13</v>
      </c>
      <c r="Q153" s="131" t="s">
        <v>3</v>
      </c>
      <c r="S153" t="s">
        <v>42</v>
      </c>
    </row>
    <row r="154" spans="2:19" x14ac:dyDescent="0.25">
      <c r="B154" s="303"/>
      <c r="C154" s="119" t="s">
        <v>115</v>
      </c>
      <c r="D154" s="104">
        <v>-10</v>
      </c>
      <c r="E154" s="17" t="s">
        <v>19</v>
      </c>
      <c r="I154" s="31">
        <v>0</v>
      </c>
      <c r="J154" s="31">
        <v>-10</v>
      </c>
      <c r="K154" s="31">
        <f>-I_MAX_A</f>
        <v>-41.666666666666671</v>
      </c>
      <c r="O154" s="131" t="s">
        <v>235</v>
      </c>
      <c r="P154" s="131">
        <f>ROUND((USER_PI_FW_UK_LIMIT_MAX*32767/I_MAX_A),0)</f>
        <v>1</v>
      </c>
      <c r="Q154" s="131" t="s">
        <v>3</v>
      </c>
    </row>
    <row r="155" spans="2:19" ht="15.75" thickBot="1" x14ac:dyDescent="0.3">
      <c r="B155" s="305"/>
      <c r="C155" s="186" t="s">
        <v>500</v>
      </c>
      <c r="D155" s="115" t="s">
        <v>188</v>
      </c>
      <c r="E155" s="15" t="s">
        <v>425</v>
      </c>
      <c r="O155" s="131" t="s">
        <v>236</v>
      </c>
      <c r="P155" s="131">
        <f>ROUND((USER_PI_FW_UK_LIMIT_MIN*32767/I_MAX_A),0)</f>
        <v>-7864</v>
      </c>
      <c r="Q155" s="131" t="s">
        <v>3</v>
      </c>
    </row>
    <row r="156" spans="2:19" x14ac:dyDescent="0.25">
      <c r="D156"/>
      <c r="E156" s="1"/>
      <c r="I156" s="105"/>
      <c r="J156" s="105"/>
      <c r="K156" s="105"/>
      <c r="O156" s="131" t="s">
        <v>237</v>
      </c>
      <c r="P156" s="131">
        <f>ROUND((PI_FW_UK_LIMIT_MAX*2^PI_FW_SCALE_KPKI),0)</f>
        <v>8192</v>
      </c>
      <c r="Q156" s="131" t="s">
        <v>3</v>
      </c>
      <c r="R156">
        <f>LOG(PI_FW_IK_LIMIT_MAX,2)</f>
        <v>13</v>
      </c>
      <c r="S156" t="s">
        <v>96</v>
      </c>
    </row>
    <row r="157" spans="2:19" ht="15.75" thickBot="1" x14ac:dyDescent="0.3">
      <c r="D157"/>
      <c r="E157" s="1"/>
      <c r="I157" s="105"/>
      <c r="J157" s="105"/>
      <c r="K157" s="105"/>
      <c r="O157" s="131" t="s">
        <v>238</v>
      </c>
      <c r="P157" s="131">
        <f>ROUND((-ABS(PI_FW_UK_LIMIT_MIN)*2^PI_FW_SCALE_KPKI),0)</f>
        <v>-64421888</v>
      </c>
      <c r="Q157" s="131" t="s">
        <v>3</v>
      </c>
      <c r="R157">
        <f>LOG(ABS(PI_FW_IK_LIMIT_MIN),2)</f>
        <v>25.941047606340582</v>
      </c>
      <c r="S157" t="s">
        <v>97</v>
      </c>
    </row>
    <row r="158" spans="2:19" ht="15.75" thickBot="1" x14ac:dyDescent="0.3">
      <c r="B158" s="302" t="s">
        <v>1770</v>
      </c>
      <c r="C158" s="25" t="s">
        <v>30</v>
      </c>
      <c r="O158" s="133"/>
      <c r="P158" s="133"/>
      <c r="Q158" s="133"/>
    </row>
    <row r="159" spans="2:19" x14ac:dyDescent="0.25">
      <c r="B159" s="303"/>
      <c r="C159" s="185" t="s">
        <v>441</v>
      </c>
      <c r="D159" s="34" t="s">
        <v>189</v>
      </c>
      <c r="E159" s="14" t="s">
        <v>425</v>
      </c>
      <c r="O159" s="133"/>
      <c r="P159" s="133"/>
      <c r="Q159" s="133"/>
    </row>
    <row r="160" spans="2:19" x14ac:dyDescent="0.25">
      <c r="B160" s="303"/>
      <c r="C160" s="183" t="s">
        <v>157</v>
      </c>
      <c r="D160" s="5">
        <v>2</v>
      </c>
      <c r="E160" s="17" t="s">
        <v>19</v>
      </c>
      <c r="I160" s="21">
        <v>0</v>
      </c>
      <c r="J160" s="21"/>
      <c r="K160" s="21">
        <f>I_MAX_A</f>
        <v>41.666666666666671</v>
      </c>
      <c r="O160" s="131" t="s">
        <v>45</v>
      </c>
      <c r="P160" s="131">
        <f>ROUND((USER_STALL_CURRENT_A*32767/I_MAX_A),0)</f>
        <v>1573</v>
      </c>
      <c r="Q160" s="131" t="s">
        <v>3</v>
      </c>
    </row>
    <row r="161" spans="2:19" x14ac:dyDescent="0.25">
      <c r="B161" s="303"/>
      <c r="C161" s="190" t="s">
        <v>156</v>
      </c>
      <c r="D161" s="5">
        <v>2.5</v>
      </c>
      <c r="E161" s="17" t="s">
        <v>3</v>
      </c>
      <c r="I161" s="21">
        <v>1</v>
      </c>
      <c r="J161" s="21"/>
      <c r="K161" s="21">
        <v>100</v>
      </c>
      <c r="O161" s="131" t="s">
        <v>47</v>
      </c>
      <c r="P161" s="131">
        <f>ROUND(((1/USER_STALL_COEFFICIENT)*2^P162),0)</f>
        <v>3277</v>
      </c>
      <c r="Q161" s="131" t="s">
        <v>3</v>
      </c>
    </row>
    <row r="162" spans="2:19" ht="15.75" thickBot="1" x14ac:dyDescent="0.3">
      <c r="B162" s="303"/>
      <c r="C162" s="189" t="s">
        <v>158</v>
      </c>
      <c r="D162" s="35">
        <v>5</v>
      </c>
      <c r="E162" s="15" t="s">
        <v>31</v>
      </c>
      <c r="I162" s="21">
        <v>0.1</v>
      </c>
      <c r="J162" s="21"/>
      <c r="K162" s="21">
        <f>2^31*USER_FAST_CTRL_LOOP_PERIOD_US/1000</f>
        <v>107374182.40000001</v>
      </c>
      <c r="O162" s="131" t="s">
        <v>155</v>
      </c>
      <c r="P162" s="131">
        <f>ROUNDDOWN(LOG((4096/(1/USER_STALL_COEFFICIENT)),2),0)</f>
        <v>13</v>
      </c>
      <c r="Q162" s="131" t="s">
        <v>3</v>
      </c>
    </row>
    <row r="163" spans="2:19" x14ac:dyDescent="0.25">
      <c r="B163" s="303"/>
      <c r="O163" s="131" t="s">
        <v>46</v>
      </c>
      <c r="P163" s="131">
        <f>ROUND((USER_STALL_THRESHOLD_TIME_ms*1000/USER_FAST_CTRL_LOOP_PERIOD_US),0)</f>
        <v>100</v>
      </c>
      <c r="Q163" s="131" t="s">
        <v>3</v>
      </c>
    </row>
    <row r="164" spans="2:19" x14ac:dyDescent="0.25">
      <c r="B164" s="303"/>
      <c r="O164" s="131" t="s">
        <v>291</v>
      </c>
      <c r="P164" s="131">
        <f>ROUND(((((N_I_A/N_V_V) * USER_CCU8_PWM_FREQ_HZ * (((USER_MOTOR_LQ_PER_PHASE_uH + USER_MOTOR_LD_PER_PHASE_uH)/2)/1000000)))*2^MOTOR_SCALE_OF_LS_X_PWMFREQ),0)</f>
        <v>21547</v>
      </c>
      <c r="Q164" s="131" t="s">
        <v>3</v>
      </c>
    </row>
    <row r="165" spans="2:19" x14ac:dyDescent="0.25">
      <c r="B165" s="303"/>
      <c r="O165" s="131" t="s">
        <v>292</v>
      </c>
      <c r="P165" s="131">
        <f>ROUNDDOWN(LOG((2^15/((N_I_A/N_V_V) * USER_CCU8_PWM_FREQ_HZ * (((USER_MOTOR_LQ_PER_PHASE_uH + USER_MOTOR_LD_PER_PHASE_uH)/2)/1000000))),2),0)</f>
        <v>13</v>
      </c>
      <c r="Q165" s="131" t="s">
        <v>3</v>
      </c>
    </row>
    <row r="166" spans="2:19" ht="15.75" thickBot="1" x14ac:dyDescent="0.3">
      <c r="B166" s="303"/>
      <c r="C166" s="25" t="s">
        <v>48</v>
      </c>
      <c r="O166" s="133"/>
      <c r="P166" s="133"/>
      <c r="Q166" s="133"/>
    </row>
    <row r="167" spans="2:19" x14ac:dyDescent="0.25">
      <c r="B167" s="303"/>
      <c r="C167" s="185" t="s">
        <v>440</v>
      </c>
      <c r="D167" s="34" t="s">
        <v>188</v>
      </c>
      <c r="E167" s="14" t="s">
        <v>425</v>
      </c>
      <c r="O167" s="133"/>
      <c r="P167" s="133"/>
      <c r="Q167" s="133"/>
    </row>
    <row r="168" spans="2:19" ht="15.75" thickBot="1" x14ac:dyDescent="0.3">
      <c r="B168" s="303"/>
      <c r="C168" s="119" t="s">
        <v>50</v>
      </c>
      <c r="D168" s="5" t="s">
        <v>189</v>
      </c>
      <c r="E168" s="17" t="s">
        <v>425</v>
      </c>
      <c r="F168" s="201" t="s">
        <v>1782</v>
      </c>
      <c r="G168" s="201" t="s">
        <v>1783</v>
      </c>
      <c r="O168" s="133"/>
      <c r="P168" s="133"/>
      <c r="Q168" s="133"/>
    </row>
    <row r="169" spans="2:19" x14ac:dyDescent="0.25">
      <c r="B169" s="303"/>
      <c r="C169" s="119" t="s">
        <v>51</v>
      </c>
      <c r="D169" s="5">
        <v>28</v>
      </c>
      <c r="E169" s="17" t="s">
        <v>19</v>
      </c>
      <c r="F169" s="201">
        <v>100</v>
      </c>
      <c r="G169" s="201">
        <v>70</v>
      </c>
      <c r="I169" s="21">
        <v>0</v>
      </c>
      <c r="J169" s="21"/>
      <c r="K169" s="21">
        <f>I_MAX_A</f>
        <v>41.666666666666671</v>
      </c>
      <c r="O169" s="137" t="s">
        <v>160</v>
      </c>
      <c r="P169" s="148">
        <f>ROUND((USER_OCP_LEVEL_RMS_A*1.414*2^15/I_MAX_A),0)</f>
        <v>31136</v>
      </c>
      <c r="Q169" s="149" t="s">
        <v>3</v>
      </c>
      <c r="R169" s="202">
        <f>ROUND((F169*1.414*2^15/I_MAX_A),0)</f>
        <v>111201</v>
      </c>
      <c r="S169" s="202">
        <f>ROUND((G169*1.414*2^15/I_MAX_A),0)</f>
        <v>77841</v>
      </c>
    </row>
    <row r="170" spans="2:19" ht="15.75" thickBot="1" x14ac:dyDescent="0.3">
      <c r="B170" s="303"/>
      <c r="C170" s="186" t="s">
        <v>49</v>
      </c>
      <c r="D170" s="35">
        <v>1</v>
      </c>
      <c r="E170" s="15" t="s">
        <v>31</v>
      </c>
      <c r="F170" s="201">
        <v>50</v>
      </c>
      <c r="G170" s="201">
        <v>400</v>
      </c>
      <c r="I170" s="21">
        <v>0</v>
      </c>
      <c r="J170" s="21"/>
      <c r="K170" s="21">
        <f>2^31*USER_FAST_CTRL_LOOP_PERIOD_US/1000</f>
        <v>107374182.40000001</v>
      </c>
      <c r="O170" s="143" t="s">
        <v>161</v>
      </c>
      <c r="P170" s="151">
        <f>ROUND(((USER_OCP_LEVEL_TIME_ms*1000)/USER_FAST_CTRL_LOOP_PERIOD_US),0)</f>
        <v>20</v>
      </c>
      <c r="Q170" s="152" t="s">
        <v>3</v>
      </c>
      <c r="R170" s="203">
        <f>ROUND(((F170*1000)/USER_FAST_CTRL_LOOP_PERIOD_US),0)</f>
        <v>1000</v>
      </c>
      <c r="S170" s="203">
        <f>ROUND(((G170*1000)/USER_FAST_CTRL_LOOP_PERIOD_US),0)</f>
        <v>8000</v>
      </c>
    </row>
    <row r="171" spans="2:19" x14ac:dyDescent="0.25">
      <c r="B171" s="303"/>
      <c r="C171" s="32" t="s">
        <v>1784</v>
      </c>
      <c r="D171" s="34" t="s">
        <v>189</v>
      </c>
      <c r="E171" s="14" t="s">
        <v>425</v>
      </c>
      <c r="O171" s="133"/>
      <c r="P171" s="133"/>
      <c r="Q171" s="133"/>
    </row>
    <row r="172" spans="2:19" ht="15.75" thickBot="1" x14ac:dyDescent="0.3">
      <c r="B172" s="303"/>
      <c r="C172" s="25" t="s">
        <v>179</v>
      </c>
      <c r="O172" s="133"/>
      <c r="P172" s="133"/>
      <c r="Q172" s="133"/>
    </row>
    <row r="173" spans="2:19" ht="15.75" thickBot="1" x14ac:dyDescent="0.3">
      <c r="B173" s="303"/>
      <c r="C173" s="188" t="s">
        <v>289</v>
      </c>
      <c r="D173" s="34" t="s">
        <v>189</v>
      </c>
      <c r="E173" s="14" t="s">
        <v>425</v>
      </c>
      <c r="I173" s="21"/>
      <c r="J173" s="21"/>
      <c r="K173" s="21"/>
      <c r="O173" s="133"/>
      <c r="P173" s="133"/>
      <c r="Q173" s="133"/>
    </row>
    <row r="174" spans="2:19" ht="15.75" thickBot="1" x14ac:dyDescent="0.3">
      <c r="B174" s="303"/>
      <c r="C174" s="189" t="s">
        <v>180</v>
      </c>
      <c r="D174" s="35">
        <v>3</v>
      </c>
      <c r="E174" s="15" t="s">
        <v>19</v>
      </c>
      <c r="I174" s="21">
        <v>0</v>
      </c>
      <c r="J174" s="21"/>
      <c r="K174" s="21">
        <f>N_I_A</f>
        <v>41.666666666666671</v>
      </c>
      <c r="O174" s="153" t="s">
        <v>182</v>
      </c>
      <c r="P174" s="154">
        <f>IF((USER_MAX_CURRENT_LIMIT_ENABLE="ENABLED"),(ROUND((USER_LIMIT_MAX_IS_A*32767/N_I_A),0)),32767)</f>
        <v>32767</v>
      </c>
      <c r="Q174" s="155" t="s">
        <v>3</v>
      </c>
    </row>
    <row r="175" spans="2:19" x14ac:dyDescent="0.25">
      <c r="B175" s="303"/>
      <c r="C175" s="6"/>
      <c r="O175" s="133"/>
      <c r="P175" s="133"/>
      <c r="Q175" s="133"/>
    </row>
    <row r="176" spans="2:19" ht="15.75" thickBot="1" x14ac:dyDescent="0.3">
      <c r="B176" s="303"/>
      <c r="C176" s="25" t="s">
        <v>52</v>
      </c>
      <c r="O176" s="133"/>
      <c r="P176" s="133"/>
      <c r="Q176" s="133"/>
    </row>
    <row r="177" spans="2:17" ht="15.75" thickBot="1" x14ac:dyDescent="0.3">
      <c r="B177" s="303"/>
      <c r="C177" s="188" t="s">
        <v>290</v>
      </c>
      <c r="D177" s="34" t="s">
        <v>189</v>
      </c>
      <c r="E177" s="14" t="s">
        <v>425</v>
      </c>
      <c r="I177" s="21"/>
      <c r="J177" s="21"/>
      <c r="K177" s="21"/>
      <c r="O177" s="133"/>
      <c r="P177" s="133"/>
      <c r="Q177" s="133"/>
    </row>
    <row r="178" spans="2:17" x14ac:dyDescent="0.25">
      <c r="B178" s="303"/>
      <c r="C178" s="190" t="s">
        <v>53</v>
      </c>
      <c r="D178" s="5">
        <v>1</v>
      </c>
      <c r="E178" s="17" t="s">
        <v>19</v>
      </c>
      <c r="I178" s="21">
        <v>0</v>
      </c>
      <c r="J178" s="21"/>
      <c r="K178" s="21">
        <f>N_I_A</f>
        <v>41.666666666666671</v>
      </c>
      <c r="O178" s="137" t="s">
        <v>181</v>
      </c>
      <c r="P178" s="148">
        <f>ROUND((USER_LIMIT_MAX_IQ_A * 32767/N_I_A),0)</f>
        <v>786</v>
      </c>
      <c r="Q178" s="149" t="s">
        <v>3</v>
      </c>
    </row>
    <row r="179" spans="2:17" ht="15.75" thickBot="1" x14ac:dyDescent="0.3">
      <c r="B179" s="303"/>
      <c r="C179" s="186" t="s">
        <v>184</v>
      </c>
      <c r="D179" s="35">
        <v>1500</v>
      </c>
      <c r="E179" s="15" t="s">
        <v>31</v>
      </c>
      <c r="I179" s="21">
        <v>0</v>
      </c>
      <c r="J179" s="21"/>
      <c r="K179" s="21">
        <f>(2^31)*USER_FAST_CTRL_LOOP_PERIOD_US/1000</f>
        <v>107374182.40000001</v>
      </c>
      <c r="O179" s="143" t="s">
        <v>183</v>
      </c>
      <c r="P179" s="151">
        <f>ROUND(((USER_IQ_LIMIT_BLANKING_TIME_ms * 1000/USER_FAST_CTRL_LOOP_PERIOD_US)),0)</f>
        <v>30000</v>
      </c>
      <c r="Q179" s="152" t="s">
        <v>3</v>
      </c>
    </row>
    <row r="180" spans="2:17" x14ac:dyDescent="0.25">
      <c r="B180" s="303"/>
      <c r="O180" s="133"/>
      <c r="P180" s="133"/>
      <c r="Q180" s="133"/>
    </row>
    <row r="181" spans="2:17" ht="15.75" thickBot="1" x14ac:dyDescent="0.3">
      <c r="B181" s="303"/>
      <c r="C181" s="25" t="s">
        <v>54</v>
      </c>
      <c r="O181" s="133"/>
      <c r="P181" s="133"/>
      <c r="Q181" s="133"/>
    </row>
    <row r="182" spans="2:17" ht="15.75" thickBot="1" x14ac:dyDescent="0.3">
      <c r="B182" s="303"/>
      <c r="C182" s="185" t="s">
        <v>437</v>
      </c>
      <c r="D182" s="34" t="s">
        <v>188</v>
      </c>
      <c r="E182" s="14" t="s">
        <v>425</v>
      </c>
      <c r="O182" s="133"/>
      <c r="P182" s="133"/>
      <c r="Q182" s="133"/>
    </row>
    <row r="183" spans="2:17" x14ac:dyDescent="0.25">
      <c r="B183" s="303"/>
      <c r="C183" s="119" t="s">
        <v>55</v>
      </c>
      <c r="D183" s="5">
        <f>USER_VDC_LINK_V*1.2</f>
        <v>57.599999999999994</v>
      </c>
      <c r="E183" s="17" t="s">
        <v>10</v>
      </c>
      <c r="I183" s="21">
        <v>0</v>
      </c>
      <c r="J183" s="21"/>
      <c r="K183" s="21">
        <f>VDC*4</f>
        <v>192</v>
      </c>
      <c r="O183" s="137" t="s">
        <v>186</v>
      </c>
      <c r="P183" s="148">
        <f>ROUND(((USER_VDC_OVER_VOLTAGE_LIMIT_V * USER_DC_LINK_DIVIDER_RATIO * 4096)/VAREF_V),0)</f>
        <v>3600</v>
      </c>
      <c r="Q183" s="149" t="s">
        <v>3</v>
      </c>
    </row>
    <row r="184" spans="2:17" ht="15.75" thickBot="1" x14ac:dyDescent="0.3">
      <c r="B184" s="303"/>
      <c r="C184" s="119" t="s">
        <v>56</v>
      </c>
      <c r="D184" s="5">
        <f>USER_VDC_LINK_V*0.8</f>
        <v>38.400000000000006</v>
      </c>
      <c r="E184" s="17" t="s">
        <v>10</v>
      </c>
      <c r="I184" s="21">
        <v>0</v>
      </c>
      <c r="J184" s="21"/>
      <c r="K184" s="21">
        <f>VDC</f>
        <v>48</v>
      </c>
      <c r="O184" s="143" t="s">
        <v>187</v>
      </c>
      <c r="P184" s="151">
        <f>ROUND(((USER_VDC_UNDER_VOLTAGE_LIMIT_V * USER_DC_LINK_DIVIDER_RATIO * 4096)/VAREF_V),0)</f>
        <v>2400</v>
      </c>
      <c r="Q184" s="152" t="s">
        <v>3</v>
      </c>
    </row>
    <row r="185" spans="2:17" ht="15.75" thickBot="1" x14ac:dyDescent="0.3">
      <c r="B185" s="303"/>
      <c r="C185" s="186" t="s">
        <v>57</v>
      </c>
      <c r="D185" s="35">
        <v>2</v>
      </c>
      <c r="E185" s="15" t="s">
        <v>3</v>
      </c>
      <c r="O185" s="133"/>
      <c r="P185" s="133"/>
      <c r="Q185" s="133"/>
    </row>
    <row r="186" spans="2:17" x14ac:dyDescent="0.25">
      <c r="B186" s="303"/>
      <c r="O186" s="133"/>
      <c r="P186" s="133"/>
      <c r="Q186" s="133"/>
    </row>
    <row r="187" spans="2:17" ht="15.75" thickBot="1" x14ac:dyDescent="0.3">
      <c r="B187" s="303"/>
      <c r="C187" s="25" t="s">
        <v>438</v>
      </c>
      <c r="O187" s="133"/>
      <c r="P187" s="133"/>
      <c r="Q187" s="133"/>
    </row>
    <row r="188" spans="2:17" ht="15.75" thickBot="1" x14ac:dyDescent="0.3">
      <c r="B188" s="303"/>
      <c r="C188" s="187" t="s">
        <v>439</v>
      </c>
      <c r="D188" s="71" t="s">
        <v>189</v>
      </c>
      <c r="E188" s="70" t="s">
        <v>425</v>
      </c>
      <c r="O188" s="133"/>
      <c r="P188" s="133"/>
      <c r="Q188" s="133"/>
    </row>
    <row r="189" spans="2:17" x14ac:dyDescent="0.25">
      <c r="B189" s="303"/>
      <c r="O189" s="133"/>
      <c r="P189" s="133"/>
      <c r="Q189" s="133"/>
    </row>
    <row r="190" spans="2:17" ht="15.75" thickBot="1" x14ac:dyDescent="0.3">
      <c r="B190" s="303"/>
      <c r="C190" s="25" t="s">
        <v>120</v>
      </c>
      <c r="O190" s="133"/>
      <c r="P190" s="133"/>
      <c r="Q190" s="133"/>
    </row>
    <row r="191" spans="2:17" ht="15.75" thickBot="1" x14ac:dyDescent="0.3">
      <c r="B191" s="303"/>
      <c r="C191" s="185" t="s">
        <v>465</v>
      </c>
      <c r="D191" s="34" t="s">
        <v>189</v>
      </c>
      <c r="E191" s="14" t="s">
        <v>425</v>
      </c>
      <c r="O191" s="133"/>
      <c r="P191" s="133"/>
      <c r="Q191" s="133"/>
    </row>
    <row r="192" spans="2:17" x14ac:dyDescent="0.25">
      <c r="B192" s="303"/>
      <c r="C192" s="119" t="s">
        <v>121</v>
      </c>
      <c r="D192" s="5">
        <v>480</v>
      </c>
      <c r="E192" s="17" t="s">
        <v>123</v>
      </c>
      <c r="I192" s="21">
        <v>0</v>
      </c>
      <c r="J192" s="21">
        <v>500</v>
      </c>
      <c r="K192" s="21">
        <v>5000</v>
      </c>
      <c r="O192" s="137" t="s">
        <v>119</v>
      </c>
      <c r="P192" s="148">
        <f>ROUND(((USER_TEMP_SENSOR_0C_OUTPUT_mV*4096)/(1000*VAREF_V)),0)</f>
        <v>393</v>
      </c>
      <c r="Q192" s="149" t="s">
        <v>3</v>
      </c>
    </row>
    <row r="193" spans="2:19" ht="15.75" thickBot="1" x14ac:dyDescent="0.3">
      <c r="B193" s="303"/>
      <c r="C193" s="119" t="s">
        <v>122</v>
      </c>
      <c r="D193" s="5">
        <v>15.6</v>
      </c>
      <c r="E193" s="17" t="s">
        <v>124</v>
      </c>
      <c r="I193" s="21">
        <v>0</v>
      </c>
      <c r="J193" s="21">
        <v>10</v>
      </c>
      <c r="K193" s="21">
        <v>5000</v>
      </c>
      <c r="O193" s="143" t="s">
        <v>126</v>
      </c>
      <c r="P193" s="151">
        <f>ROUND((32767/USER_TEMP_SENSOR_COEFFICIENT_mV_C),0)</f>
        <v>2100</v>
      </c>
      <c r="Q193" s="152" t="s">
        <v>3</v>
      </c>
    </row>
    <row r="194" spans="2:19" x14ac:dyDescent="0.25">
      <c r="B194" s="303"/>
      <c r="C194" s="119" t="s">
        <v>127</v>
      </c>
      <c r="D194" s="5">
        <v>60</v>
      </c>
      <c r="E194" s="17" t="s">
        <v>125</v>
      </c>
      <c r="I194" s="21">
        <v>0</v>
      </c>
      <c r="J194" s="21">
        <v>60</v>
      </c>
      <c r="K194" s="21">
        <v>150</v>
      </c>
      <c r="O194" s="133"/>
      <c r="P194" s="133"/>
      <c r="Q194" s="133"/>
    </row>
    <row r="195" spans="2:19" ht="15.75" thickBot="1" x14ac:dyDescent="0.3">
      <c r="B195" s="303"/>
      <c r="C195" s="186" t="s">
        <v>128</v>
      </c>
      <c r="D195" s="35">
        <v>100</v>
      </c>
      <c r="E195" s="15" t="s">
        <v>125</v>
      </c>
      <c r="I195" s="21">
        <v>0</v>
      </c>
      <c r="J195" s="21">
        <v>100</v>
      </c>
      <c r="K195" s="21">
        <v>150</v>
      </c>
      <c r="O195" s="133"/>
      <c r="P195" s="133"/>
      <c r="Q195" s="133"/>
    </row>
    <row r="196" spans="2:19" x14ac:dyDescent="0.25">
      <c r="B196" s="303"/>
      <c r="O196" s="133"/>
      <c r="P196" s="133"/>
      <c r="Q196" s="133"/>
    </row>
    <row r="197" spans="2:19" ht="15.75" thickBot="1" x14ac:dyDescent="0.3">
      <c r="B197" s="303"/>
      <c r="C197" s="25" t="s">
        <v>444</v>
      </c>
      <c r="O197" s="133"/>
      <c r="P197" s="133"/>
      <c r="Q197" s="133"/>
    </row>
    <row r="198" spans="2:19" ht="15.75" thickBot="1" x14ac:dyDescent="0.3">
      <c r="B198" s="305"/>
      <c r="C198" s="187" t="s">
        <v>443</v>
      </c>
      <c r="D198" s="71" t="s">
        <v>189</v>
      </c>
      <c r="E198" s="70" t="s">
        <v>425</v>
      </c>
      <c r="O198" s="133"/>
      <c r="P198" s="133"/>
      <c r="Q198" s="133"/>
    </row>
    <row r="199" spans="2:19" x14ac:dyDescent="0.25">
      <c r="C199" s="25"/>
      <c r="O199" s="133"/>
      <c r="P199" s="133"/>
      <c r="Q199" s="133"/>
    </row>
    <row r="200" spans="2:19" ht="15.75" thickBot="1" x14ac:dyDescent="0.3">
      <c r="D200" s="30"/>
      <c r="O200" s="133"/>
      <c r="P200" s="133"/>
      <c r="Q200" s="133"/>
    </row>
    <row r="201" spans="2:19" ht="15.75" customHeight="1" thickBot="1" x14ac:dyDescent="0.3">
      <c r="B201" s="302" t="s">
        <v>1771</v>
      </c>
      <c r="C201" s="25" t="s">
        <v>8</v>
      </c>
      <c r="D201" s="9"/>
      <c r="O201" s="133"/>
      <c r="P201" s="133"/>
      <c r="Q201" s="133"/>
    </row>
    <row r="202" spans="2:19" ht="15" customHeight="1" x14ac:dyDescent="0.25">
      <c r="B202" s="303"/>
      <c r="C202" s="188" t="s">
        <v>177</v>
      </c>
      <c r="D202" s="10">
        <v>48</v>
      </c>
      <c r="E202" s="14" t="s">
        <v>10</v>
      </c>
      <c r="I202" s="21">
        <v>5.5</v>
      </c>
      <c r="J202" s="21"/>
      <c r="K202" s="21">
        <v>60</v>
      </c>
      <c r="O202" s="137" t="s">
        <v>176</v>
      </c>
      <c r="P202" s="148">
        <f>ROUND((((USER_VDC_LINK_V * USER_DC_LINK_DIVIDER_RATIO * 4096)/VAREF_V)),0)</f>
        <v>3000</v>
      </c>
      <c r="Q202" s="149" t="s">
        <v>3</v>
      </c>
    </row>
    <row r="203" spans="2:19" ht="15" customHeight="1" x14ac:dyDescent="0.25">
      <c r="B203" s="303"/>
      <c r="C203" s="190" t="s">
        <v>136</v>
      </c>
      <c r="D203" s="11">
        <v>0.76</v>
      </c>
      <c r="E203" s="16" t="s">
        <v>44</v>
      </c>
      <c r="I203" s="21">
        <v>0.12</v>
      </c>
      <c r="J203" s="21">
        <v>0.76</v>
      </c>
      <c r="K203" s="21">
        <f>255/USER_PCLK_FREQ_MHz</f>
        <v>2.65625</v>
      </c>
      <c r="O203" s="140" t="s">
        <v>132</v>
      </c>
      <c r="P203" s="132">
        <f>ROUND((USER_DEAD_TIME_US*USER_PCLK_FREQ_MHz),0)</f>
        <v>73</v>
      </c>
      <c r="Q203" s="150" t="s">
        <v>3</v>
      </c>
    </row>
    <row r="204" spans="2:19" ht="15.75" customHeight="1" thickBot="1" x14ac:dyDescent="0.3">
      <c r="B204" s="303"/>
      <c r="C204" s="189" t="s">
        <v>135</v>
      </c>
      <c r="D204" s="12">
        <v>20000</v>
      </c>
      <c r="E204" s="15" t="s">
        <v>9</v>
      </c>
      <c r="I204" s="21">
        <v>5000</v>
      </c>
      <c r="J204" s="21">
        <v>20000</v>
      </c>
      <c r="K204" s="22">
        <v>50000</v>
      </c>
      <c r="O204" s="140" t="s">
        <v>133</v>
      </c>
      <c r="P204" s="132">
        <f>ROUND((USER_DEAD_TIME_US*USER_PCLK_FREQ_MHz),0)</f>
        <v>73</v>
      </c>
      <c r="Q204" s="150" t="s">
        <v>3</v>
      </c>
    </row>
    <row r="205" spans="2:19" ht="15.75" customHeight="1" thickBot="1" x14ac:dyDescent="0.3">
      <c r="B205" s="303"/>
      <c r="C205" s="190" t="s">
        <v>1793</v>
      </c>
      <c r="D205" s="205" t="s">
        <v>188</v>
      </c>
      <c r="E205" s="70" t="s">
        <v>425</v>
      </c>
      <c r="K205" s="33"/>
      <c r="O205" s="143" t="s">
        <v>131</v>
      </c>
      <c r="P205" s="151">
        <f>ROUND(((USER_PCLK_FREQ_MHz*1000000/USER_CCU8_PWM_FREQ_HZ)-1),0)</f>
        <v>4799</v>
      </c>
      <c r="Q205" s="152" t="s">
        <v>3</v>
      </c>
    </row>
    <row r="206" spans="2:19" ht="15" customHeight="1" thickBot="1" x14ac:dyDescent="0.3">
      <c r="B206" s="303"/>
      <c r="C206" s="190" t="s">
        <v>1796</v>
      </c>
      <c r="D206" s="206">
        <v>0.8</v>
      </c>
      <c r="E206" s="6" t="s">
        <v>3</v>
      </c>
      <c r="O206" s="143" t="s">
        <v>1795</v>
      </c>
      <c r="P206" s="151">
        <f>ROUND(DEAD_TIME_COMPENSATION_RATIO*USER_DEAD_TIME_US/USER_FAST_CTRL_LOOP_PERIOD_US*N_eSpeed_T, 0)</f>
        <v>398</v>
      </c>
      <c r="Q206" s="152" t="s">
        <v>3</v>
      </c>
    </row>
    <row r="207" spans="2:19" ht="15.75" customHeight="1" thickBot="1" x14ac:dyDescent="0.3">
      <c r="B207" s="303"/>
      <c r="C207" s="25" t="s">
        <v>11</v>
      </c>
      <c r="O207" s="133"/>
      <c r="P207" s="133"/>
      <c r="Q207" s="133"/>
    </row>
    <row r="208" spans="2:19" ht="15.75" customHeight="1" thickBot="1" x14ac:dyDescent="0.3">
      <c r="B208" s="300"/>
      <c r="C208" s="194" t="s">
        <v>261</v>
      </c>
      <c r="D208" s="4">
        <v>5</v>
      </c>
      <c r="E208" s="18" t="s">
        <v>13</v>
      </c>
      <c r="I208" s="21">
        <v>0.5</v>
      </c>
      <c r="J208" s="21">
        <v>1</v>
      </c>
      <c r="K208" s="21">
        <v>1000</v>
      </c>
      <c r="O208" s="156" t="s">
        <v>28</v>
      </c>
      <c r="P208" s="135"/>
      <c r="Q208" s="136"/>
      <c r="S208" s="27"/>
    </row>
    <row r="209" spans="2:18" ht="15" customHeight="1" x14ac:dyDescent="0.25">
      <c r="B209" s="300"/>
      <c r="C209" s="196" t="s">
        <v>512</v>
      </c>
      <c r="D209" s="5">
        <v>12</v>
      </c>
      <c r="E209" s="17" t="s">
        <v>3</v>
      </c>
      <c r="O209" s="157" t="s">
        <v>202</v>
      </c>
      <c r="P209" s="158">
        <f>ROUND((2*PI()*USER_MOTOR_SPEED_LOW_LIMIT_RPM*USER_MOTOR_POLE_PAIR/(USER_CCU8_PWM_FREQ_HZ*60))*(32767/N_eSpeed_rad_FCL),0)</f>
        <v>152</v>
      </c>
      <c r="Q209" s="139" t="s">
        <v>3</v>
      </c>
    </row>
    <row r="210" spans="2:18" ht="15.75" customHeight="1" thickBot="1" x14ac:dyDescent="0.3">
      <c r="B210" s="300"/>
      <c r="C210" s="196" t="s">
        <v>12</v>
      </c>
      <c r="D210" s="31">
        <v>5</v>
      </c>
      <c r="E210" s="17" t="s">
        <v>10</v>
      </c>
      <c r="O210" s="159" t="s">
        <v>203</v>
      </c>
      <c r="P210" s="160">
        <f>ROUND((2*PI()*USER_MOTOR_SPEED_HIGH_LIMIT_RPM*USER_MOTOR_POLE_PAIR/(USER_CCU8_PWM_FREQ_HZ*60))*(32767/N_eSpeed_rad_FCL),0)</f>
        <v>32767</v>
      </c>
      <c r="Q210" s="145" t="s">
        <v>3</v>
      </c>
    </row>
    <row r="211" spans="2:18" ht="30.75" thickBot="1" x14ac:dyDescent="0.3">
      <c r="B211" s="300"/>
      <c r="C211" s="196" t="s">
        <v>400</v>
      </c>
      <c r="D211" s="5" t="s">
        <v>305</v>
      </c>
      <c r="E211" s="97" t="s">
        <v>458</v>
      </c>
      <c r="O211" s="161"/>
      <c r="P211" s="162"/>
      <c r="Q211" s="136"/>
    </row>
    <row r="212" spans="2:18" ht="15.75" customHeight="1" x14ac:dyDescent="0.25">
      <c r="B212" s="300"/>
      <c r="C212" s="196" t="s">
        <v>1749</v>
      </c>
      <c r="D212" s="31">
        <v>0.2</v>
      </c>
      <c r="E212" s="17" t="s">
        <v>44</v>
      </c>
      <c r="O212" s="137" t="s">
        <v>138</v>
      </c>
      <c r="P212" s="166">
        <f>ROUND(((GATE_DRIVER_IC_PROPOGATION_DELAY_US*USER_PCLK_FREQ_MHz) - 0.5),0)</f>
        <v>19</v>
      </c>
      <c r="Q212" s="149" t="s">
        <v>3</v>
      </c>
    </row>
    <row r="213" spans="2:18" ht="15" customHeight="1" thickBot="1" x14ac:dyDescent="0.3">
      <c r="B213" s="300"/>
      <c r="C213" s="197" t="s">
        <v>1778</v>
      </c>
      <c r="D213" s="172">
        <v>0.8</v>
      </c>
      <c r="E213" s="15" t="s">
        <v>44</v>
      </c>
      <c r="O213" s="143" t="s">
        <v>1778</v>
      </c>
      <c r="P213" s="151">
        <f>ROUND((CSOPAMP_SETTLING_TIME_US*USER_PCLK_FREQ_MHz),0)</f>
        <v>77</v>
      </c>
      <c r="Q213" s="152" t="s">
        <v>3</v>
      </c>
    </row>
    <row r="214" spans="2:18" ht="15" customHeight="1" x14ac:dyDescent="0.25">
      <c r="B214" s="303"/>
      <c r="O214" s="133"/>
      <c r="P214" s="133"/>
      <c r="Q214" s="133"/>
    </row>
    <row r="215" spans="2:18" ht="15.75" customHeight="1" thickBot="1" x14ac:dyDescent="0.3">
      <c r="B215" s="303"/>
      <c r="C215" s="25" t="s">
        <v>34</v>
      </c>
      <c r="D215" s="57"/>
      <c r="O215" s="163" t="s">
        <v>0</v>
      </c>
      <c r="P215" s="163"/>
      <c r="Q215" s="163"/>
      <c r="R215">
        <f>(N_eSpeed_rad_FCL*USER_CCU8_PWM_FREQ_HZ*(N_I_A/N_V_V)*(USER_MOTOR_LQ_PER_PHASE_uH/(10^6)))</f>
        <v>0.17765542831432915</v>
      </c>
    </row>
    <row r="216" spans="2:18" ht="15" customHeight="1" x14ac:dyDescent="0.25">
      <c r="B216" s="303"/>
      <c r="C216" s="182" t="s">
        <v>35</v>
      </c>
      <c r="D216" s="58">
        <v>84.5</v>
      </c>
      <c r="E216" s="13" t="s">
        <v>36</v>
      </c>
      <c r="G216" s="58">
        <v>75</v>
      </c>
      <c r="O216" s="157" t="s">
        <v>282</v>
      </c>
      <c r="P216" s="138">
        <f>ROUND((N_eSpeed_rad_FCL*USER_CCU8_PWM_FREQ_HZ*(N_I_A/N_V_V)*(USER_MOTOR_LQ_PER_PHASE_uH/(10^6)))*2^MOTOR_SCALE_OF_L,0)</f>
        <v>5821</v>
      </c>
      <c r="Q216" s="139" t="s">
        <v>3</v>
      </c>
    </row>
    <row r="217" spans="2:18" ht="15" customHeight="1" x14ac:dyDescent="0.25">
      <c r="B217" s="303"/>
      <c r="C217" s="183" t="s">
        <v>37</v>
      </c>
      <c r="D217" s="59">
        <v>6.98</v>
      </c>
      <c r="E217" s="64" t="s">
        <v>36</v>
      </c>
      <c r="G217" s="59">
        <v>7.87</v>
      </c>
      <c r="O217" s="164" t="s">
        <v>283</v>
      </c>
      <c r="P217" s="147">
        <f>ROUND((N_eSpeed_rad_FCL*USER_CCU8_PWM_FREQ_HZ*(N_I_A/N_V_V)*(USER_MOTOR_LD_PER_PHASE_uH/(10^6)))*2^MOTOR_SCALE_OF_L,0)</f>
        <v>5821</v>
      </c>
      <c r="Q217" s="142" t="s">
        <v>3</v>
      </c>
    </row>
    <row r="218" spans="2:18" ht="15.75" customHeight="1" thickBot="1" x14ac:dyDescent="0.3">
      <c r="B218" s="303"/>
      <c r="C218" s="184" t="s">
        <v>178</v>
      </c>
      <c r="D218" s="73">
        <f>DC_LINK_R2/(DC_LINK_R1+DC_LINK_R2)</f>
        <v>7.6300830782684737E-2</v>
      </c>
      <c r="E218" s="15" t="s">
        <v>3</v>
      </c>
      <c r="O218" s="164" t="s">
        <v>284</v>
      </c>
      <c r="P218" s="165">
        <f>MIN((15-ROUNDUP((LOG((LQ_RAW),2)),0)),15)</f>
        <v>15</v>
      </c>
      <c r="Q218" s="142" t="s">
        <v>3</v>
      </c>
      <c r="R218">
        <f>USER_MOTOR_R_PER_PHASE_OHM*(N_I_A/N_V_V)</f>
        <v>9.1145833333333356E-2</v>
      </c>
    </row>
    <row r="219" spans="2:18" ht="15" customHeight="1" x14ac:dyDescent="0.25">
      <c r="B219" s="303"/>
      <c r="O219" s="164" t="s">
        <v>285</v>
      </c>
      <c r="P219" s="165">
        <f>ROUND((R_RAW*2^MOTOR_SCALE_OF_R),0)</f>
        <v>1493</v>
      </c>
      <c r="Q219" s="142" t="s">
        <v>3</v>
      </c>
    </row>
    <row r="220" spans="2:18" ht="15" customHeight="1" x14ac:dyDescent="0.25">
      <c r="B220" s="303"/>
      <c r="D220"/>
      <c r="E220" s="1"/>
      <c r="O220" s="164" t="s">
        <v>286</v>
      </c>
      <c r="P220" s="165">
        <f>MIN((14 - ROUNDDOWN((LOG((R_RAW),2)),0)),14)</f>
        <v>14</v>
      </c>
      <c r="Q220" s="142" t="s">
        <v>3</v>
      </c>
      <c r="R220">
        <f>USER_CCU8_PWM_FREQ_HZ *USER_MOTOR_FLUX_LINKAGE_CONSTANT * N_eSpeed_rad_FCL/N_V_V</f>
        <v>0.11018154484761955</v>
      </c>
    </row>
    <row r="221" spans="2:18" ht="15" customHeight="1" x14ac:dyDescent="0.25">
      <c r="B221" s="303"/>
      <c r="D221"/>
      <c r="E221" s="1"/>
      <c r="O221" s="164" t="s">
        <v>509</v>
      </c>
      <c r="P221" s="131">
        <f>ROUND((R220*2^P222),0)</f>
        <v>903</v>
      </c>
      <c r="Q221" s="150" t="s">
        <v>3</v>
      </c>
    </row>
    <row r="222" spans="2:18" ht="15.75" customHeight="1" thickBot="1" x14ac:dyDescent="0.3">
      <c r="B222" s="303"/>
      <c r="C222" s="25" t="s">
        <v>14</v>
      </c>
      <c r="D222" s="23"/>
      <c r="O222" s="159" t="s">
        <v>510</v>
      </c>
      <c r="P222" s="151">
        <f>IF((R220 = 0),0,MIN((13-ROUNDUP((LOG(R220,2)),0)),13))</f>
        <v>13</v>
      </c>
      <c r="Q222" s="152" t="s">
        <v>3</v>
      </c>
    </row>
    <row r="223" spans="2:18" ht="15" customHeight="1" x14ac:dyDescent="0.25">
      <c r="B223" s="303"/>
      <c r="C223" s="182" t="s">
        <v>143</v>
      </c>
      <c r="D223" s="75">
        <v>48</v>
      </c>
      <c r="E223" s="14" t="s">
        <v>15</v>
      </c>
      <c r="O223" s="133"/>
      <c r="P223" s="133"/>
      <c r="Q223" s="133"/>
    </row>
    <row r="224" spans="2:18" ht="15" customHeight="1" x14ac:dyDescent="0.25">
      <c r="B224" s="303"/>
      <c r="C224" s="190" t="s">
        <v>134</v>
      </c>
      <c r="D224" s="74">
        <f>(1+D225)*D223</f>
        <v>96</v>
      </c>
      <c r="E224" s="17" t="s">
        <v>15</v>
      </c>
      <c r="O224" s="133"/>
      <c r="P224" s="133"/>
      <c r="Q224" s="133"/>
    </row>
    <row r="225" spans="2:17" ht="15" customHeight="1" x14ac:dyDescent="0.25">
      <c r="B225" s="303"/>
      <c r="C225" s="190" t="s">
        <v>16</v>
      </c>
      <c r="D225" s="74">
        <v>1</v>
      </c>
      <c r="E225" s="17" t="s">
        <v>3</v>
      </c>
      <c r="O225" s="133"/>
      <c r="P225" s="133"/>
      <c r="Q225" s="133"/>
    </row>
    <row r="226" spans="2:17" ht="15.75" customHeight="1" thickBot="1" x14ac:dyDescent="0.3">
      <c r="B226" s="303"/>
      <c r="C226" s="189" t="s">
        <v>117</v>
      </c>
      <c r="D226" s="172">
        <v>5</v>
      </c>
      <c r="E226" s="15" t="s">
        <v>10</v>
      </c>
      <c r="O226" s="133"/>
      <c r="P226" s="133"/>
      <c r="Q226" s="133"/>
    </row>
    <row r="227" spans="2:17" ht="15" customHeight="1" x14ac:dyDescent="0.25">
      <c r="B227" s="303"/>
      <c r="C227" s="69"/>
      <c r="D227" s="23"/>
      <c r="O227" s="133"/>
      <c r="P227" s="133"/>
      <c r="Q227" s="133"/>
    </row>
    <row r="228" spans="2:17" ht="15.75" customHeight="1" thickBot="1" x14ac:dyDescent="0.3">
      <c r="B228" s="303"/>
      <c r="C228" s="25" t="s">
        <v>1750</v>
      </c>
      <c r="O228" s="133"/>
      <c r="P228" s="133"/>
      <c r="Q228" s="133"/>
    </row>
    <row r="229" spans="2:17" ht="15" customHeight="1" x14ac:dyDescent="0.25">
      <c r="B229" s="303"/>
      <c r="C229" s="194" t="s">
        <v>517</v>
      </c>
      <c r="D229" s="90" t="s">
        <v>1908</v>
      </c>
      <c r="E229" s="84" t="s">
        <v>515</v>
      </c>
      <c r="O229" s="133"/>
      <c r="P229" s="133"/>
      <c r="Q229" s="133"/>
    </row>
    <row r="230" spans="2:17" ht="47.1" customHeight="1" x14ac:dyDescent="0.25">
      <c r="B230" s="303"/>
      <c r="C230" s="198" t="s">
        <v>1896</v>
      </c>
      <c r="D230" s="120" t="s">
        <v>1894</v>
      </c>
      <c r="E230" s="122" t="s">
        <v>1902</v>
      </c>
      <c r="O230" s="133"/>
      <c r="P230" s="133"/>
      <c r="Q230" s="133"/>
    </row>
    <row r="231" spans="2:17" ht="29.1" customHeight="1" x14ac:dyDescent="0.25">
      <c r="B231" s="303"/>
      <c r="C231" s="275" t="s">
        <v>1897</v>
      </c>
      <c r="D231" s="120" t="s">
        <v>1899</v>
      </c>
      <c r="E231" s="122" t="s">
        <v>1898</v>
      </c>
      <c r="O231" s="133"/>
      <c r="P231" s="133"/>
      <c r="Q231" s="133"/>
    </row>
    <row r="232" spans="2:17" ht="30" x14ac:dyDescent="0.25">
      <c r="B232" s="303"/>
      <c r="C232" s="198" t="s">
        <v>516</v>
      </c>
      <c r="D232" s="120" t="s">
        <v>1798</v>
      </c>
      <c r="E232" s="122" t="s">
        <v>1724</v>
      </c>
      <c r="F232" s="274" t="s">
        <v>1889</v>
      </c>
      <c r="O232" s="133"/>
      <c r="P232" s="133"/>
      <c r="Q232" s="133"/>
    </row>
    <row r="233" spans="2:17" ht="15" customHeight="1" x14ac:dyDescent="0.25">
      <c r="B233" s="303"/>
      <c r="C233" s="198" t="s">
        <v>1731</v>
      </c>
      <c r="D233" s="120" t="s">
        <v>540</v>
      </c>
      <c r="E233" s="121" t="s">
        <v>1725</v>
      </c>
      <c r="O233" s="133"/>
      <c r="P233" s="133"/>
      <c r="Q233" s="133"/>
    </row>
    <row r="234" spans="2:17" ht="15" customHeight="1" x14ac:dyDescent="0.25">
      <c r="B234" s="303"/>
      <c r="C234" s="198" t="s">
        <v>1732</v>
      </c>
      <c r="D234" s="120" t="s">
        <v>554</v>
      </c>
      <c r="E234" s="121" t="s">
        <v>1725</v>
      </c>
      <c r="O234" s="133"/>
      <c r="P234" s="133"/>
      <c r="Q234" s="133"/>
    </row>
    <row r="235" spans="2:17" ht="15" customHeight="1" x14ac:dyDescent="0.25">
      <c r="B235" s="303"/>
      <c r="C235" s="196" t="s">
        <v>1727</v>
      </c>
      <c r="D235" s="117" t="s">
        <v>539</v>
      </c>
      <c r="E235" s="17" t="s">
        <v>1725</v>
      </c>
      <c r="O235" s="133"/>
      <c r="P235" s="133"/>
      <c r="Q235" s="133"/>
    </row>
    <row r="236" spans="2:17" ht="15" customHeight="1" x14ac:dyDescent="0.25">
      <c r="B236" s="303"/>
      <c r="C236" s="196" t="s">
        <v>1728</v>
      </c>
      <c r="D236" s="117" t="s">
        <v>553</v>
      </c>
      <c r="E236" s="17" t="s">
        <v>1725</v>
      </c>
      <c r="O236" s="133"/>
      <c r="P236" s="133"/>
      <c r="Q236" s="133"/>
    </row>
    <row r="237" spans="2:17" ht="15" customHeight="1" x14ac:dyDescent="0.25">
      <c r="B237" s="303"/>
      <c r="C237" s="196" t="s">
        <v>1729</v>
      </c>
      <c r="D237" s="117" t="s">
        <v>539</v>
      </c>
      <c r="E237" s="17" t="s">
        <v>1725</v>
      </c>
      <c r="O237" s="133"/>
      <c r="P237" s="133"/>
      <c r="Q237" s="133"/>
    </row>
    <row r="238" spans="2:17" ht="15" customHeight="1" x14ac:dyDescent="0.25">
      <c r="B238" s="303"/>
      <c r="C238" s="196" t="s">
        <v>1730</v>
      </c>
      <c r="D238" s="117" t="s">
        <v>553</v>
      </c>
      <c r="E238" s="17" t="s">
        <v>1725</v>
      </c>
      <c r="O238" s="133"/>
      <c r="P238" s="133"/>
      <c r="Q238" s="133"/>
    </row>
    <row r="239" spans="2:17" ht="15" customHeight="1" x14ac:dyDescent="0.25">
      <c r="B239" s="303"/>
      <c r="C239" s="196" t="s">
        <v>1739</v>
      </c>
      <c r="D239" s="117" t="s">
        <v>520</v>
      </c>
      <c r="E239" s="17" t="s">
        <v>1725</v>
      </c>
      <c r="O239" s="133"/>
      <c r="P239" s="133"/>
      <c r="Q239" s="133"/>
    </row>
    <row r="240" spans="2:17" ht="15" customHeight="1" x14ac:dyDescent="0.25">
      <c r="B240" s="303"/>
      <c r="C240" s="196" t="s">
        <v>1740</v>
      </c>
      <c r="D240" s="117" t="s">
        <v>776</v>
      </c>
      <c r="E240" s="17" t="s">
        <v>1725</v>
      </c>
      <c r="O240" s="133"/>
      <c r="P240" s="133"/>
      <c r="Q240" s="133"/>
    </row>
    <row r="241" spans="1:26" ht="15" customHeight="1" x14ac:dyDescent="0.25">
      <c r="B241" s="303"/>
      <c r="C241" s="196" t="s">
        <v>1741</v>
      </c>
      <c r="D241" s="117" t="s">
        <v>522</v>
      </c>
      <c r="E241" s="17" t="s">
        <v>1725</v>
      </c>
      <c r="O241" s="133"/>
      <c r="P241" s="133"/>
      <c r="Q241" s="133"/>
    </row>
    <row r="242" spans="1:26" ht="15" customHeight="1" x14ac:dyDescent="0.25">
      <c r="B242" s="303"/>
      <c r="C242" s="196" t="s">
        <v>1742</v>
      </c>
      <c r="D242" s="117" t="s">
        <v>993</v>
      </c>
      <c r="E242" s="17" t="s">
        <v>1725</v>
      </c>
      <c r="O242" s="133"/>
      <c r="P242" s="134"/>
      <c r="Q242" s="133"/>
    </row>
    <row r="243" spans="1:26" ht="15" customHeight="1" x14ac:dyDescent="0.25">
      <c r="B243" s="303"/>
      <c r="C243" s="196" t="s">
        <v>1743</v>
      </c>
      <c r="D243" s="193" t="s">
        <v>587</v>
      </c>
      <c r="E243" s="17" t="s">
        <v>1725</v>
      </c>
      <c r="O243" s="133"/>
      <c r="P243" s="134"/>
      <c r="Q243" s="133"/>
    </row>
    <row r="244" spans="1:26" ht="15.75" customHeight="1" thickBot="1" x14ac:dyDescent="0.3">
      <c r="B244" s="303"/>
      <c r="C244" s="195" t="s">
        <v>1744</v>
      </c>
      <c r="D244" s="199" t="s">
        <v>587</v>
      </c>
      <c r="E244" s="15" t="s">
        <v>1725</v>
      </c>
      <c r="O244" s="133"/>
      <c r="P244" s="134"/>
      <c r="Q244" s="133"/>
    </row>
    <row r="245" spans="1:26" x14ac:dyDescent="0.25">
      <c r="B245" s="303"/>
      <c r="O245" s="133"/>
      <c r="P245" s="133"/>
      <c r="Q245" s="133"/>
    </row>
    <row r="246" spans="1:26" ht="15.75" thickBot="1" x14ac:dyDescent="0.3">
      <c r="B246" s="303"/>
      <c r="C246" s="25" t="s">
        <v>453</v>
      </c>
      <c r="O246" s="133"/>
      <c r="P246" s="133"/>
      <c r="Q246" s="133"/>
    </row>
    <row r="247" spans="1:26" ht="15.75" thickBot="1" x14ac:dyDescent="0.3">
      <c r="B247" s="305"/>
      <c r="C247" s="187" t="s">
        <v>1836</v>
      </c>
      <c r="D247" s="71">
        <v>1500</v>
      </c>
      <c r="E247" s="70" t="s">
        <v>31</v>
      </c>
      <c r="I247" s="21">
        <v>0</v>
      </c>
      <c r="J247" s="21"/>
      <c r="K247" s="21">
        <f>(2^31)*USER_FAST_CTRL_LOOP_PERIOD_US/1000</f>
        <v>107374182.40000001</v>
      </c>
      <c r="O247" s="153" t="s">
        <v>1837</v>
      </c>
      <c r="P247" s="154">
        <f>ROUND((USER_DRIVER_SHUTDOWN_DELAY_mSec*1000/USER_FAST_CTRL_LOOP_PERIOD_US),0)</f>
        <v>30000</v>
      </c>
      <c r="Q247" s="155" t="s">
        <v>3</v>
      </c>
    </row>
    <row r="248" spans="1:26" x14ac:dyDescent="0.25">
      <c r="C248" s="25"/>
      <c r="I248" s="6"/>
      <c r="J248" s="6"/>
      <c r="K248" s="6"/>
      <c r="L248" s="6"/>
      <c r="M248" s="6"/>
      <c r="N248" s="6"/>
      <c r="O248" s="6"/>
      <c r="P248" s="6"/>
      <c r="Q248" s="6"/>
      <c r="R248" s="6"/>
    </row>
    <row r="249" spans="1:26" ht="15.75" thickBot="1" x14ac:dyDescent="0.3"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" customHeight="1" x14ac:dyDescent="0.25">
      <c r="A250" s="243"/>
      <c r="B250" s="299" t="s">
        <v>1839</v>
      </c>
      <c r="C250" s="289" t="s">
        <v>1871</v>
      </c>
      <c r="D250" s="34" t="s">
        <v>189</v>
      </c>
      <c r="E250" s="14" t="s">
        <v>425</v>
      </c>
      <c r="I250" s="6"/>
      <c r="J250" s="6"/>
      <c r="K250" s="6"/>
      <c r="L250" s="6"/>
      <c r="M250" s="6"/>
      <c r="N250" s="6"/>
      <c r="O250" s="278"/>
      <c r="P250" s="279"/>
      <c r="Q250" s="277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4.45" customHeight="1" x14ac:dyDescent="0.25">
      <c r="A251" s="243"/>
      <c r="B251" s="300"/>
      <c r="C251" s="259" t="s">
        <v>1872</v>
      </c>
      <c r="D251" s="256">
        <v>8</v>
      </c>
      <c r="E251" s="121" t="s">
        <v>1850</v>
      </c>
      <c r="I251" s="6"/>
      <c r="J251" s="6"/>
      <c r="K251" s="6"/>
      <c r="L251" s="6"/>
      <c r="M251" s="6"/>
      <c r="N251" s="6"/>
      <c r="O251" s="131" t="s">
        <v>1883</v>
      </c>
      <c r="P251" s="131">
        <f>LOG(WINDOW_SIZE,2)</f>
        <v>3</v>
      </c>
      <c r="Q251" s="280" t="s">
        <v>3</v>
      </c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" customHeight="1" x14ac:dyDescent="0.25">
      <c r="A252" s="243"/>
      <c r="B252" s="300"/>
      <c r="C252" s="252"/>
      <c r="D252" s="251"/>
      <c r="E252" s="257"/>
      <c r="I252" s="6"/>
      <c r="J252" s="6"/>
      <c r="K252" s="6"/>
      <c r="L252" s="6"/>
      <c r="M252" s="6"/>
      <c r="N252" s="6"/>
      <c r="O252" s="281"/>
      <c r="P252" s="133"/>
      <c r="Q252" s="282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4.45" customHeight="1" x14ac:dyDescent="0.25">
      <c r="B253" s="300"/>
      <c r="C253" s="253" t="s">
        <v>1840</v>
      </c>
      <c r="D253" s="246">
        <v>5100</v>
      </c>
      <c r="E253" s="17" t="s">
        <v>1849</v>
      </c>
      <c r="I253" s="6"/>
      <c r="J253" s="6"/>
      <c r="K253" s="6"/>
      <c r="L253" s="6"/>
      <c r="M253" s="6"/>
      <c r="N253" s="6"/>
      <c r="O253" s="263" t="s">
        <v>1842</v>
      </c>
      <c r="P253" s="263">
        <f>MIN((14-ROUNDDOWN((LOG(E_ECO_T_RAW_2,2)),0)),14)</f>
        <v>14</v>
      </c>
      <c r="Q253" s="277" t="s">
        <v>3</v>
      </c>
      <c r="R253" s="6">
        <f>(E_ECO_GAIN_CONST*(E_POT_R1+E_POT_R2)*VDD)/(E_TORQUE_CONST*4095*E_POT_R2*E_K_CONST)</f>
        <v>1.3043422879488453E-3</v>
      </c>
      <c r="S253" s="6"/>
      <c r="T253" s="6"/>
      <c r="U253" s="6"/>
      <c r="V253" s="6"/>
      <c r="W253" s="6"/>
      <c r="X253" s="6"/>
      <c r="Y253" s="6"/>
      <c r="Z253" s="6"/>
    </row>
    <row r="254" spans="1:26" ht="14.45" customHeight="1" x14ac:dyDescent="0.25">
      <c r="B254" s="300"/>
      <c r="C254" s="253" t="s">
        <v>1841</v>
      </c>
      <c r="D254" s="246">
        <v>3300</v>
      </c>
      <c r="E254" s="17" t="s">
        <v>1849</v>
      </c>
      <c r="I254" s="6"/>
      <c r="J254" s="6"/>
      <c r="K254" s="6"/>
      <c r="L254" s="6"/>
      <c r="M254" s="6"/>
      <c r="N254" s="6"/>
      <c r="O254" s="131" t="s">
        <v>1843</v>
      </c>
      <c r="P254" s="131">
        <f>ROUND((E_ECO_T_RAW_2*2^E_ECO_SCALE_OF_T),0)</f>
        <v>16806</v>
      </c>
      <c r="Q254" s="280" t="s">
        <v>3</v>
      </c>
      <c r="R254" s="245">
        <f>(E_ECO_T_RAW*2^15)/I_MAX_A</f>
        <v>1.0257765141961863</v>
      </c>
      <c r="S254" s="6" t="s">
        <v>1879</v>
      </c>
      <c r="T254" s="6"/>
      <c r="U254" s="6"/>
      <c r="V254" s="6"/>
      <c r="W254" s="6"/>
      <c r="X254" s="6"/>
      <c r="Y254" s="6"/>
      <c r="Z254" s="6"/>
    </row>
    <row r="255" spans="1:26" ht="14.45" customHeight="1" x14ac:dyDescent="0.25">
      <c r="B255" s="300"/>
      <c r="C255" s="28" t="s">
        <v>1875</v>
      </c>
      <c r="D255" s="246">
        <v>3.0499999999999999E-2</v>
      </c>
      <c r="E255" s="17" t="s">
        <v>1874</v>
      </c>
      <c r="I255" s="6"/>
      <c r="J255" s="6"/>
      <c r="K255" s="6"/>
      <c r="L255" s="6"/>
      <c r="M255" s="6"/>
      <c r="N255" s="6"/>
      <c r="O255" s="263" t="s">
        <v>1844</v>
      </c>
      <c r="P255" s="263">
        <f>MIN((14-ROUNDDOWN((LOG(E_NORMAL_T_RAW_2,2)),0)),14)</f>
        <v>14</v>
      </c>
      <c r="Q255" s="277" t="s">
        <v>3</v>
      </c>
      <c r="R255" s="244">
        <f>(E_NORMAL_GAIN_CONST*(E_POT_R1+E_POT_R2)*VDD)/(E_TORQUE_CONST*4095*E_POT_R2*E_K_CONST)</f>
        <v>1.6304278599360567E-3</v>
      </c>
      <c r="S255" s="6"/>
      <c r="T255" s="6"/>
      <c r="U255" s="6"/>
      <c r="V255" s="6"/>
      <c r="W255" s="6"/>
      <c r="X255" s="6"/>
      <c r="Y255" s="6"/>
      <c r="Z255" s="6"/>
    </row>
    <row r="256" spans="1:26" ht="14.45" customHeight="1" x14ac:dyDescent="0.25">
      <c r="B256" s="300"/>
      <c r="C256" s="28" t="s">
        <v>1876</v>
      </c>
      <c r="D256" s="246">
        <v>8.0000000000000004E-4</v>
      </c>
      <c r="E256" s="17" t="s">
        <v>1850</v>
      </c>
      <c r="I256" s="6"/>
      <c r="J256" s="6"/>
      <c r="K256" s="6"/>
      <c r="L256" s="6"/>
      <c r="M256" s="6"/>
      <c r="N256" s="6"/>
      <c r="O256" s="131" t="s">
        <v>1845</v>
      </c>
      <c r="P256" s="131">
        <f>ROUND((E_NORMAL_T_RAW_2*2^E_NORMAL_SCALE_OF_T),0)</f>
        <v>21008</v>
      </c>
      <c r="Q256" s="280" t="s">
        <v>3</v>
      </c>
      <c r="R256" s="245">
        <f>(E_NORMAL_T_RAW*2^15)/I_MAX_A</f>
        <v>1.2822206427452327</v>
      </c>
      <c r="S256" s="6" t="s">
        <v>1879</v>
      </c>
      <c r="T256" s="6"/>
      <c r="U256" s="6"/>
      <c r="V256" s="6"/>
      <c r="W256" s="6"/>
      <c r="X256" s="6"/>
      <c r="Y256" s="6"/>
      <c r="Z256" s="6"/>
    </row>
    <row r="257" spans="1:26" ht="14.45" customHeight="1" x14ac:dyDescent="0.25">
      <c r="B257" s="300"/>
      <c r="C257" s="28" t="s">
        <v>1877</v>
      </c>
      <c r="D257" s="246">
        <v>1E-3</v>
      </c>
      <c r="E257" s="17" t="s">
        <v>1850</v>
      </c>
      <c r="I257" s="6"/>
      <c r="J257" s="6"/>
      <c r="K257" s="6"/>
      <c r="L257" s="6"/>
      <c r="M257" s="6"/>
      <c r="N257" s="6"/>
      <c r="O257" s="263" t="s">
        <v>1846</v>
      </c>
      <c r="P257" s="263">
        <f>MIN((14-ROUNDDOWN((LOG(E_SPORT_T_RAW_2,2)),0)),14)</f>
        <v>13</v>
      </c>
      <c r="Q257" s="277" t="s">
        <v>3</v>
      </c>
      <c r="R257" s="244">
        <f>(E_SPORT_GAIN_CONST*(E_POT_R1+E_POT_R2)*VDD)/(E_TORQUE_CONST*4095*E_POT_R2*E_K_CONST)</f>
        <v>3.2608557198721133E-3</v>
      </c>
      <c r="S257" s="6"/>
      <c r="T257" s="6"/>
      <c r="U257" s="6"/>
      <c r="V257" s="6"/>
      <c r="W257" s="6"/>
      <c r="X257" s="6"/>
      <c r="Y257" s="6"/>
      <c r="Z257" s="6"/>
    </row>
    <row r="258" spans="1:26" ht="14.45" customHeight="1" x14ac:dyDescent="0.25">
      <c r="A258" s="25"/>
      <c r="B258" s="300"/>
      <c r="C258" s="28" t="s">
        <v>1878</v>
      </c>
      <c r="D258" s="246">
        <v>2E-3</v>
      </c>
      <c r="E258" s="17" t="s">
        <v>1850</v>
      </c>
      <c r="I258" s="6"/>
      <c r="J258" s="6"/>
      <c r="K258" s="6"/>
      <c r="L258" s="6"/>
      <c r="M258" s="6"/>
      <c r="N258" s="6"/>
      <c r="O258" s="131" t="s">
        <v>1847</v>
      </c>
      <c r="P258" s="131">
        <f>ROUND((E_SPORT_T_RAW_2*2^E_SPORT_SCALE_OF_T),0)</f>
        <v>21008</v>
      </c>
      <c r="Q258" s="280" t="s">
        <v>3</v>
      </c>
      <c r="R258" s="245">
        <f>(E_SPORT_T_RAW*2^15)/I_MAX_A</f>
        <v>2.5644412854904655</v>
      </c>
      <c r="S258" s="6" t="s">
        <v>1879</v>
      </c>
      <c r="T258" s="6"/>
      <c r="U258" s="6"/>
      <c r="V258" s="6"/>
      <c r="W258" s="6"/>
      <c r="X258" s="6"/>
      <c r="Y258" s="6"/>
      <c r="Z258" s="6"/>
    </row>
    <row r="259" spans="1:26" ht="14.45" customHeight="1" x14ac:dyDescent="0.25">
      <c r="B259" s="300"/>
      <c r="C259" s="28" t="s">
        <v>1905</v>
      </c>
      <c r="D259" s="117">
        <v>80</v>
      </c>
      <c r="E259" s="17" t="s">
        <v>1851</v>
      </c>
      <c r="I259" s="6"/>
      <c r="J259" s="6"/>
      <c r="K259" s="6"/>
      <c r="L259" s="6"/>
      <c r="M259" s="6"/>
      <c r="N259" s="6"/>
      <c r="O259" s="281"/>
      <c r="P259" s="133"/>
      <c r="Q259" s="282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4.45" customHeight="1" x14ac:dyDescent="0.25">
      <c r="B260" s="300"/>
      <c r="C260" s="28" t="s">
        <v>1858</v>
      </c>
      <c r="D260" s="117">
        <v>5</v>
      </c>
      <c r="E260" s="17" t="s">
        <v>10</v>
      </c>
      <c r="I260" s="6"/>
      <c r="J260" s="6"/>
      <c r="K260" s="6"/>
      <c r="L260" s="6"/>
      <c r="M260" s="6"/>
      <c r="N260" s="6"/>
      <c r="O260" s="281"/>
      <c r="P260" s="133"/>
      <c r="Q260" s="282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" customHeight="1" x14ac:dyDescent="0.25">
      <c r="B261" s="300"/>
      <c r="C261" s="28" t="s">
        <v>1904</v>
      </c>
      <c r="D261" s="74">
        <f>E_INPUT_V_MAX/E_INPUT_T_MAX</f>
        <v>6.25E-2</v>
      </c>
      <c r="E261" s="17" t="s">
        <v>1852</v>
      </c>
      <c r="I261" s="6"/>
      <c r="J261" s="6"/>
      <c r="K261" s="6"/>
      <c r="L261" s="6"/>
      <c r="M261" s="6"/>
      <c r="N261" s="6"/>
      <c r="O261" s="281"/>
      <c r="P261" s="133"/>
      <c r="Q261" s="282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4.45" customHeight="1" x14ac:dyDescent="0.25">
      <c r="B262" s="300"/>
      <c r="C262" s="254"/>
      <c r="E262" s="257"/>
      <c r="I262"/>
      <c r="J262"/>
      <c r="K262"/>
      <c r="O262" s="131" t="s">
        <v>1867</v>
      </c>
      <c r="P262" s="131">
        <f>ROUND((25/(3*PI()*E_BIKE_WHEEL_RADIUS)*E_BIKE_SPEED_LIMIT_KM_H*E_BIKE_GEAR_RATIO),0)</f>
        <v>1326</v>
      </c>
      <c r="Q262" s="280" t="s">
        <v>7</v>
      </c>
      <c r="V262" s="6"/>
      <c r="W262" s="6"/>
      <c r="X262" s="6"/>
      <c r="Y262" s="6"/>
      <c r="Z262" s="6"/>
    </row>
    <row r="263" spans="1:26" ht="14.45" customHeight="1" x14ac:dyDescent="0.25">
      <c r="B263" s="300"/>
      <c r="C263" s="276" t="s">
        <v>1907</v>
      </c>
      <c r="D263" s="5" t="s">
        <v>189</v>
      </c>
      <c r="E263" s="17" t="s">
        <v>425</v>
      </c>
      <c r="I263"/>
      <c r="J263"/>
      <c r="K263"/>
      <c r="O263" s="315"/>
      <c r="P263" s="316"/>
      <c r="Q263" s="317"/>
      <c r="V263" s="6"/>
      <c r="W263" s="6"/>
      <c r="X263" s="6"/>
      <c r="Y263" s="6"/>
      <c r="Z263" s="6"/>
    </row>
    <row r="264" spans="1:26" ht="14.45" customHeight="1" x14ac:dyDescent="0.25">
      <c r="B264" s="300"/>
      <c r="C264" s="28" t="s">
        <v>1853</v>
      </c>
      <c r="D264" s="117">
        <v>25</v>
      </c>
      <c r="E264" s="17" t="s">
        <v>1854</v>
      </c>
      <c r="I264"/>
      <c r="J264"/>
      <c r="K264"/>
      <c r="O264" s="263" t="s">
        <v>1863</v>
      </c>
      <c r="P264" s="263">
        <f>(2*PI())/60*E_BIKE_SPEED_LIMIT_RPM</f>
        <v>138.85839528866885</v>
      </c>
      <c r="Q264" s="277" t="s">
        <v>1864</v>
      </c>
      <c r="S264" s="6"/>
      <c r="V264" s="6"/>
      <c r="W264" s="6"/>
      <c r="X264" s="6"/>
      <c r="Y264" s="6"/>
      <c r="Z264" s="6"/>
    </row>
    <row r="265" spans="1:26" ht="14.45" customHeight="1" x14ac:dyDescent="0.25">
      <c r="B265" s="300"/>
      <c r="C265" s="28" t="s">
        <v>1868</v>
      </c>
      <c r="D265" s="117">
        <v>6</v>
      </c>
      <c r="E265" s="17" t="s">
        <v>1850</v>
      </c>
      <c r="I265"/>
      <c r="J265"/>
      <c r="K265"/>
      <c r="O265" s="306"/>
      <c r="P265" s="307"/>
      <c r="Q265" s="308"/>
      <c r="V265" s="6"/>
      <c r="W265" s="6"/>
      <c r="X265" s="6"/>
      <c r="Y265" s="6"/>
      <c r="Z265" s="6"/>
    </row>
    <row r="266" spans="1:26" ht="14.45" customHeight="1" x14ac:dyDescent="0.25">
      <c r="B266" s="300"/>
      <c r="C266" s="28" t="s">
        <v>1855</v>
      </c>
      <c r="D266" s="117">
        <v>0.3</v>
      </c>
      <c r="E266" s="17" t="s">
        <v>1856</v>
      </c>
      <c r="I266"/>
      <c r="J266"/>
      <c r="K266"/>
      <c r="O266" s="309"/>
      <c r="P266" s="310"/>
      <c r="Q266" s="311"/>
      <c r="V266" s="6"/>
      <c r="W266" s="6"/>
      <c r="X266" s="6"/>
      <c r="Y266" s="6"/>
      <c r="Z266" s="6"/>
    </row>
    <row r="267" spans="1:26" ht="14.45" customHeight="1" x14ac:dyDescent="0.25">
      <c r="B267" s="300"/>
      <c r="C267" s="252"/>
      <c r="E267" s="257"/>
      <c r="I267"/>
      <c r="J267"/>
      <c r="K267"/>
      <c r="O267" s="309"/>
      <c r="P267" s="310"/>
      <c r="Q267" s="311"/>
      <c r="V267" s="6"/>
      <c r="W267" s="6"/>
      <c r="X267" s="6"/>
      <c r="Y267" s="6"/>
      <c r="Z267" s="6"/>
    </row>
    <row r="268" spans="1:26" ht="14.45" customHeight="1" x14ac:dyDescent="0.25">
      <c r="B268" s="300"/>
      <c r="C268" s="255" t="s">
        <v>1887</v>
      </c>
      <c r="E268" s="257"/>
      <c r="I268"/>
      <c r="J268"/>
      <c r="K268"/>
      <c r="O268" s="312"/>
      <c r="P268" s="313"/>
      <c r="Q268" s="314"/>
      <c r="V268" s="6"/>
      <c r="W268" s="6"/>
      <c r="X268" s="6"/>
      <c r="Y268" s="6"/>
      <c r="Z268" s="6"/>
    </row>
    <row r="269" spans="1:26" ht="14.45" customHeight="1" x14ac:dyDescent="0.25">
      <c r="B269" s="300"/>
      <c r="C269" s="28" t="s">
        <v>1859</v>
      </c>
      <c r="D269" s="246">
        <v>1E-3</v>
      </c>
      <c r="E269" s="66" t="s">
        <v>1880</v>
      </c>
      <c r="I269"/>
      <c r="J269"/>
      <c r="K269"/>
      <c r="O269" s="131" t="s">
        <v>1860</v>
      </c>
      <c r="P269" s="131">
        <f>ROUND((E_BIKE_RAMP_DOWN_STEP_A/I_MAX_A*32767),0)</f>
        <v>1</v>
      </c>
      <c r="Q269" s="280" t="s">
        <v>3</v>
      </c>
      <c r="V269" s="6"/>
      <c r="W269" s="6"/>
      <c r="X269" s="6"/>
      <c r="Y269" s="6"/>
      <c r="Z269" s="6"/>
    </row>
    <row r="270" spans="1:26" ht="14.45" customHeight="1" x14ac:dyDescent="0.25">
      <c r="B270" s="300"/>
      <c r="C270" s="260" t="s">
        <v>1869</v>
      </c>
      <c r="D270" s="261">
        <v>1</v>
      </c>
      <c r="E270" s="262" t="s">
        <v>3</v>
      </c>
      <c r="I270"/>
      <c r="J270"/>
      <c r="K270"/>
      <c r="O270" s="281"/>
      <c r="P270" s="133"/>
      <c r="Q270" s="282"/>
      <c r="V270" s="6"/>
      <c r="W270" s="6"/>
      <c r="X270" s="6"/>
      <c r="Y270" s="6"/>
      <c r="Z270" s="6"/>
    </row>
    <row r="271" spans="1:26" ht="14.45" customHeight="1" thickBot="1" x14ac:dyDescent="0.3">
      <c r="B271" s="304"/>
      <c r="C271" s="258" t="s">
        <v>1882</v>
      </c>
      <c r="D271" s="290">
        <f>E_BIKE_RAMP_DOWN_STEP_A*(USER_CCU8_PWM_FREQ_HZ/E_BIKE_RAMP_STEP_TIME_FCL_COUNT)</f>
        <v>20</v>
      </c>
      <c r="E271" s="15" t="s">
        <v>1881</v>
      </c>
      <c r="I271"/>
      <c r="J271"/>
      <c r="K271"/>
      <c r="O271" s="283"/>
      <c r="P271" s="284"/>
      <c r="Q271" s="285"/>
      <c r="V271" s="6"/>
      <c r="W271" s="6"/>
      <c r="X271" s="6"/>
      <c r="Y271" s="6"/>
      <c r="Z271" s="6"/>
    </row>
    <row r="272" spans="1:26" ht="15.75" thickBot="1" x14ac:dyDescent="0.3">
      <c r="I272"/>
      <c r="J272"/>
      <c r="K272"/>
      <c r="O272"/>
      <c r="P272"/>
      <c r="Q272"/>
      <c r="V272" s="6"/>
      <c r="W272" s="6"/>
      <c r="X272" s="6"/>
      <c r="Y272" s="6"/>
      <c r="Z272" s="6"/>
    </row>
    <row r="273" spans="2:26" x14ac:dyDescent="0.25">
      <c r="B273" s="299" t="s">
        <v>1909</v>
      </c>
      <c r="C273" s="286" t="s">
        <v>1903</v>
      </c>
      <c r="D273" s="287"/>
      <c r="E273" s="288"/>
      <c r="I273"/>
      <c r="J273"/>
      <c r="K273"/>
      <c r="O273"/>
      <c r="P273"/>
      <c r="Q273"/>
      <c r="V273" s="6"/>
      <c r="W273" s="6"/>
      <c r="X273" s="6"/>
      <c r="Y273" s="6"/>
      <c r="Z273" s="6"/>
    </row>
    <row r="274" spans="2:26" x14ac:dyDescent="0.25">
      <c r="B274" s="300"/>
      <c r="C274" s="252" t="s">
        <v>1906</v>
      </c>
      <c r="D274" s="5" t="s">
        <v>189</v>
      </c>
      <c r="E274" s="17" t="s">
        <v>425</v>
      </c>
      <c r="I274"/>
      <c r="J274"/>
      <c r="K274"/>
      <c r="O274"/>
      <c r="P274"/>
      <c r="Q274"/>
      <c r="V274" s="6"/>
      <c r="W274" s="6"/>
      <c r="X274" s="6"/>
      <c r="Y274" s="6"/>
      <c r="Z274" s="6"/>
    </row>
    <row r="275" spans="2:26" ht="15.75" thickBot="1" x14ac:dyDescent="0.3">
      <c r="B275" s="300"/>
      <c r="C275" s="258" t="s">
        <v>1861</v>
      </c>
      <c r="D275" s="91">
        <v>250</v>
      </c>
      <c r="E275" s="15" t="s">
        <v>1857</v>
      </c>
      <c r="I275"/>
      <c r="J275"/>
      <c r="K275"/>
      <c r="O275" s="263" t="s">
        <v>1862</v>
      </c>
      <c r="P275" s="263">
        <f>E_INPUT_T_MAX*E_BIKE_SPEED_LIMIT_RAD_S</f>
        <v>11108.671623093507</v>
      </c>
      <c r="Q275" s="277" t="s">
        <v>1857</v>
      </c>
      <c r="R275" s="32">
        <f>E_Bike_power_max/E_BIKE_POWER_BASE*(2^15)</f>
        <v>737.4419082628998</v>
      </c>
      <c r="S275" s="6"/>
      <c r="V275" s="6"/>
      <c r="W275" s="6"/>
      <c r="X275" s="6"/>
      <c r="Y275" s="6"/>
      <c r="Z275" s="6"/>
    </row>
    <row r="276" spans="2:26" x14ac:dyDescent="0.25">
      <c r="I276"/>
      <c r="J276"/>
      <c r="K276"/>
      <c r="O276" s="131" t="s">
        <v>1866</v>
      </c>
      <c r="P276" s="131">
        <f>ROUND((E_BIKE_POWER_RAW*2^15),0)</f>
        <v>24164496</v>
      </c>
      <c r="Q276" s="280" t="s">
        <v>1850</v>
      </c>
      <c r="R276" s="247"/>
      <c r="S276" s="250">
        <f>E_BIKE_POWER_RAW*2^15</f>
        <v>24164496.449958701</v>
      </c>
      <c r="T276" s="248" t="s">
        <v>1865</v>
      </c>
      <c r="V276" s="6"/>
      <c r="W276" s="6"/>
      <c r="X276" s="6"/>
      <c r="Y276" s="6"/>
      <c r="Z276" s="6"/>
    </row>
    <row r="277" spans="2:26" x14ac:dyDescent="0.25">
      <c r="C277" s="25"/>
      <c r="I277"/>
      <c r="J277"/>
      <c r="K277"/>
      <c r="O277" s="283"/>
      <c r="P277" s="284"/>
      <c r="Q277" s="285"/>
      <c r="T277" s="249">
        <f>2^31</f>
        <v>2147483648</v>
      </c>
      <c r="U277" s="6"/>
      <c r="V277" s="6"/>
      <c r="W277" s="6"/>
      <c r="X277" s="6"/>
      <c r="Y277" s="6"/>
      <c r="Z277" s="6"/>
    </row>
    <row r="278" spans="2:26" x14ac:dyDescent="0.25">
      <c r="B278" s="1" t="s">
        <v>1911</v>
      </c>
      <c r="C278" s="82" t="s">
        <v>1910</v>
      </c>
      <c r="D278" s="207">
        <v>5</v>
      </c>
      <c r="E278" s="6" t="s">
        <v>1912</v>
      </c>
      <c r="I278"/>
      <c r="J278"/>
      <c r="K278"/>
      <c r="O278" t="s">
        <v>1913</v>
      </c>
      <c r="P278">
        <f>ROUND(HALL_OFFSET_COMPENSATION_ANGLE_DEG*N_eRotorAngle_T/180, 0)</f>
        <v>59652324</v>
      </c>
      <c r="Q278" t="s">
        <v>1914</v>
      </c>
      <c r="R278" s="32"/>
      <c r="T278" s="6"/>
      <c r="U278" s="6"/>
      <c r="V278" s="6"/>
      <c r="W278" s="6"/>
      <c r="X278" s="6"/>
      <c r="Y278" s="6"/>
      <c r="Z278" s="6"/>
    </row>
    <row r="279" spans="2:26" x14ac:dyDescent="0.25">
      <c r="I279" s="6"/>
      <c r="J279" s="6"/>
      <c r="K279" s="6"/>
      <c r="L279" s="6"/>
      <c r="M279" s="6"/>
      <c r="N279" s="6"/>
      <c r="O279"/>
      <c r="P279"/>
      <c r="Q279" s="6"/>
      <c r="S279" s="6"/>
      <c r="T279" s="6"/>
      <c r="U279" s="6"/>
      <c r="V279" s="6"/>
      <c r="W279" s="6"/>
      <c r="X279" s="6"/>
      <c r="Y279" s="6"/>
      <c r="Z279" s="6"/>
    </row>
    <row r="280" spans="2:26" x14ac:dyDescent="0.25">
      <c r="C280" s="25"/>
      <c r="I280" s="6"/>
      <c r="J280" s="6"/>
      <c r="K280" s="6"/>
      <c r="L280" s="6"/>
      <c r="M280" s="6"/>
      <c r="N280" s="6"/>
      <c r="O280"/>
      <c r="P280"/>
      <c r="Q280"/>
      <c r="T280" s="6"/>
      <c r="U280" s="6"/>
      <c r="V280" s="6"/>
      <c r="W280" s="6"/>
      <c r="X280" s="6"/>
      <c r="Y280" s="6"/>
      <c r="Z280" s="6"/>
    </row>
    <row r="281" spans="2:26" x14ac:dyDescent="0.25">
      <c r="I281" s="6"/>
      <c r="J281" s="6"/>
      <c r="K281" s="6"/>
      <c r="L281" s="6"/>
      <c r="M281" s="6"/>
      <c r="N281" s="6"/>
      <c r="O281" s="32"/>
      <c r="P281" s="6"/>
      <c r="Q281" s="6"/>
      <c r="U281" s="6"/>
      <c r="V281" s="6"/>
      <c r="W281" s="6"/>
      <c r="X281" s="6"/>
      <c r="Y281" s="6"/>
      <c r="Z281" s="6"/>
    </row>
    <row r="282" spans="2:26" x14ac:dyDescent="0.25">
      <c r="I282" s="6"/>
      <c r="J282" s="6"/>
      <c r="K282" s="6"/>
      <c r="L282" s="6"/>
      <c r="M282" s="6"/>
      <c r="N282" s="6"/>
      <c r="O282"/>
      <c r="P282"/>
      <c r="Q282"/>
      <c r="T282" s="6"/>
      <c r="U282" s="6"/>
      <c r="V282" s="6"/>
      <c r="W282" s="6"/>
      <c r="X282" s="6"/>
      <c r="Y282" s="6"/>
      <c r="Z282" s="6"/>
    </row>
    <row r="283" spans="2:26" x14ac:dyDescent="0.25">
      <c r="I283" s="6"/>
      <c r="J283" s="6"/>
      <c r="K283" s="6"/>
      <c r="L283" s="6"/>
      <c r="M283" s="6"/>
      <c r="N283" s="6"/>
      <c r="O283"/>
      <c r="P283"/>
      <c r="Q283"/>
      <c r="T283" s="6"/>
      <c r="U283" s="6"/>
      <c r="V283" s="6"/>
      <c r="W283" s="6"/>
      <c r="X283" s="6"/>
      <c r="Y283" s="6"/>
      <c r="Z283" s="6"/>
    </row>
    <row r="284" spans="2:26" x14ac:dyDescent="0.25">
      <c r="I284" s="6"/>
      <c r="J284" s="6"/>
      <c r="K284" s="6"/>
      <c r="L284" s="6"/>
      <c r="M284" s="6"/>
      <c r="N284" s="6"/>
      <c r="O284"/>
      <c r="P284"/>
      <c r="Q284"/>
      <c r="T284" s="6"/>
      <c r="U284" s="6"/>
      <c r="V284" s="6"/>
      <c r="W284" s="6"/>
      <c r="X284" s="6"/>
      <c r="Y284" s="6"/>
      <c r="Z284" s="6"/>
    </row>
    <row r="285" spans="2:26" x14ac:dyDescent="0.25">
      <c r="I285" s="6"/>
      <c r="J285" s="6"/>
      <c r="K285" s="6"/>
      <c r="L285" s="6"/>
      <c r="M285" s="6"/>
      <c r="N285" s="6"/>
      <c r="O285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2:26" x14ac:dyDescent="0.25">
      <c r="I286" s="6"/>
      <c r="J286" s="6"/>
      <c r="K286" s="6"/>
      <c r="L286" s="6"/>
      <c r="M286" s="6"/>
      <c r="N286" s="6"/>
      <c r="O286"/>
      <c r="P286"/>
      <c r="Q286"/>
      <c r="V286" s="6"/>
      <c r="W286" s="6"/>
      <c r="X286" s="6"/>
      <c r="Y286" s="6"/>
      <c r="Z286" s="6"/>
    </row>
    <row r="287" spans="2:26" x14ac:dyDescent="0.25">
      <c r="I287" s="6"/>
      <c r="J287" s="6"/>
      <c r="K287" s="6"/>
      <c r="L287" s="6"/>
      <c r="M287" s="6"/>
      <c r="N287" s="6"/>
      <c r="O287"/>
      <c r="P287"/>
      <c r="Q287"/>
      <c r="V287" s="6"/>
      <c r="W287" s="6"/>
      <c r="X287" s="6"/>
      <c r="Y287" s="6"/>
      <c r="Z287" s="6"/>
    </row>
    <row r="288" spans="2:26" x14ac:dyDescent="0.25">
      <c r="I288" s="6"/>
      <c r="J288" s="6"/>
      <c r="K288" s="6"/>
      <c r="L288" s="6"/>
      <c r="M288" s="6"/>
      <c r="N288" s="6"/>
      <c r="O288"/>
      <c r="P288"/>
      <c r="Q288"/>
      <c r="V288" s="6"/>
      <c r="W288" s="6"/>
      <c r="X288" s="6"/>
      <c r="Y288" s="6"/>
      <c r="Z288" s="6"/>
    </row>
    <row r="289" spans="3:26" x14ac:dyDescent="0.25">
      <c r="I289" s="6"/>
      <c r="J289" s="6"/>
      <c r="K289" s="6"/>
      <c r="L289" s="6"/>
      <c r="M289" s="6"/>
      <c r="N289" s="6"/>
      <c r="O289"/>
      <c r="P289"/>
      <c r="Q289"/>
      <c r="S289" s="6"/>
      <c r="V289" s="6"/>
      <c r="W289" s="6"/>
      <c r="X289" s="6"/>
      <c r="Y289" s="6"/>
      <c r="Z289" s="6"/>
    </row>
    <row r="290" spans="3:26" x14ac:dyDescent="0.25">
      <c r="I290" s="6"/>
      <c r="J290" s="6"/>
      <c r="K290" s="6"/>
      <c r="L290" s="6"/>
      <c r="M290" s="6"/>
      <c r="N290" s="6"/>
      <c r="O290"/>
      <c r="P290"/>
      <c r="Q290"/>
      <c r="T290" s="6"/>
      <c r="U290" s="6"/>
      <c r="V290" s="6"/>
      <c r="W290" s="6"/>
      <c r="X290" s="6"/>
      <c r="Y290" s="6"/>
      <c r="Z290" s="6"/>
    </row>
    <row r="291" spans="3:26" x14ac:dyDescent="0.25"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3:26" x14ac:dyDescent="0.25">
      <c r="I292" s="6"/>
      <c r="J292" s="6"/>
      <c r="K292" s="6"/>
      <c r="L292" s="6"/>
      <c r="M292" s="6"/>
      <c r="N292" s="6"/>
      <c r="O292" s="32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3:26" x14ac:dyDescent="0.25">
      <c r="I293" s="6"/>
      <c r="J293" s="6"/>
      <c r="K293" s="6"/>
      <c r="L293" s="6"/>
      <c r="M293" s="6"/>
      <c r="N293" s="6"/>
      <c r="O293" s="32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3:26" x14ac:dyDescent="0.25">
      <c r="I294" s="6"/>
      <c r="J294" s="6"/>
      <c r="K294" s="6"/>
      <c r="L294" s="6"/>
      <c r="M294" s="6"/>
      <c r="N294" s="6"/>
      <c r="O294" s="32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3:26" x14ac:dyDescent="0.25">
      <c r="I295" s="6"/>
      <c r="J295" s="6"/>
      <c r="K295" s="6"/>
      <c r="L295" s="6"/>
      <c r="M295" s="6"/>
      <c r="N295" s="6"/>
      <c r="O295" s="32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3:26" x14ac:dyDescent="0.25">
      <c r="I296" s="6"/>
      <c r="J296" s="6"/>
      <c r="K296" s="6"/>
      <c r="L296" s="6"/>
      <c r="M296" s="6"/>
      <c r="N296" s="6"/>
      <c r="O296" s="32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3:26" x14ac:dyDescent="0.25"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3:26" x14ac:dyDescent="0.25">
      <c r="C298" s="69"/>
      <c r="I298"/>
      <c r="J298"/>
      <c r="K298"/>
      <c r="O298"/>
      <c r="P298"/>
      <c r="Q298"/>
      <c r="V298" s="6"/>
      <c r="W298" s="6"/>
      <c r="X298" s="6"/>
      <c r="Y298" s="6"/>
      <c r="Z298" s="6"/>
    </row>
    <row r="299" spans="3:26" x14ac:dyDescent="0.25">
      <c r="I299"/>
      <c r="J299"/>
      <c r="K299"/>
      <c r="O299" s="32"/>
      <c r="P299" s="6"/>
      <c r="Q299" s="6"/>
      <c r="R299" s="32"/>
      <c r="S299" s="6"/>
      <c r="V299" s="6"/>
      <c r="W299" s="6"/>
      <c r="X299" s="6"/>
      <c r="Y299" s="6"/>
      <c r="Z299" s="6"/>
    </row>
    <row r="300" spans="3:26" x14ac:dyDescent="0.25">
      <c r="I300"/>
      <c r="J300"/>
      <c r="K300"/>
      <c r="O300" s="32"/>
      <c r="P300" s="6"/>
      <c r="Q300" s="6"/>
      <c r="R300" s="32"/>
      <c r="S300" s="6"/>
      <c r="V300" s="6"/>
      <c r="W300" s="6"/>
      <c r="X300" s="6"/>
      <c r="Y300" s="6"/>
      <c r="Z300" s="6"/>
    </row>
    <row r="301" spans="3:26" x14ac:dyDescent="0.25">
      <c r="I301"/>
      <c r="J301"/>
      <c r="K301"/>
      <c r="O301"/>
      <c r="P301" s="1"/>
      <c r="Q301" s="6"/>
      <c r="R301" s="32"/>
      <c r="S301" s="6"/>
      <c r="V301" s="6"/>
      <c r="W301" s="6"/>
      <c r="X301" s="6"/>
      <c r="Y301" s="6"/>
      <c r="Z301" s="6"/>
    </row>
    <row r="302" spans="3:26" x14ac:dyDescent="0.25"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3:26" x14ac:dyDescent="0.25"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3:26" x14ac:dyDescent="0.25"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9:26" x14ac:dyDescent="0.25"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9:26" x14ac:dyDescent="0.25"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9:26" x14ac:dyDescent="0.25">
      <c r="I307" s="6"/>
      <c r="J307" s="6"/>
      <c r="K307" s="6"/>
      <c r="L307" s="6"/>
      <c r="M307" s="6"/>
      <c r="N307" s="6"/>
      <c r="O307"/>
      <c r="P307"/>
      <c r="Q307"/>
      <c r="R307" s="6"/>
      <c r="S307" s="6"/>
      <c r="T307" s="6"/>
      <c r="U307" s="6"/>
      <c r="V307" s="6"/>
      <c r="W307" s="6"/>
      <c r="X307" s="6"/>
      <c r="Y307" s="6"/>
      <c r="Z307" s="6"/>
    </row>
    <row r="308" spans="9:26" x14ac:dyDescent="0.25"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9:26" x14ac:dyDescent="0.25"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9:26" x14ac:dyDescent="0.25"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9:26" x14ac:dyDescent="0.25"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9:26" x14ac:dyDescent="0.25"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9:26" x14ac:dyDescent="0.25"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9:26" x14ac:dyDescent="0.25"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9:26" x14ac:dyDescent="0.25"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9:26" x14ac:dyDescent="0.25"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9:26" x14ac:dyDescent="0.25"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9:26" x14ac:dyDescent="0.25"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9:26" x14ac:dyDescent="0.25"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9:26" x14ac:dyDescent="0.25"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9:26" x14ac:dyDescent="0.25"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9:26" x14ac:dyDescent="0.25"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</sheetData>
  <dataConsolidate/>
  <mergeCells count="11">
    <mergeCell ref="B273:B275"/>
    <mergeCell ref="C2:E2"/>
    <mergeCell ref="B6:B16"/>
    <mergeCell ref="B158:B198"/>
    <mergeCell ref="O265:Q268"/>
    <mergeCell ref="O263:Q263"/>
    <mergeCell ref="B250:B271"/>
    <mergeCell ref="B201:B247"/>
    <mergeCell ref="B18:B155"/>
    <mergeCell ref="I4:K4"/>
    <mergeCell ref="O4:Q4"/>
  </mergeCells>
  <phoneticPr fontId="19" type="noConversion"/>
  <conditionalFormatting sqref="P216:P217">
    <cfRule type="cellIs" dxfId="38" priority="62" stopIfTrue="1" operator="greaterThan">
      <formula>(2^15)</formula>
    </cfRule>
  </conditionalFormatting>
  <conditionalFormatting sqref="P114">
    <cfRule type="cellIs" dxfId="37" priority="46" operator="lessThan">
      <formula>0</formula>
    </cfRule>
    <cfRule type="cellIs" dxfId="36" priority="47" operator="equal">
      <formula>0</formula>
    </cfRule>
    <cfRule type="cellIs" dxfId="35" priority="48" operator="greaterThan">
      <formula>"2^15"</formula>
    </cfRule>
  </conditionalFormatting>
  <conditionalFormatting sqref="P115">
    <cfRule type="cellIs" dxfId="34" priority="43" operator="lessThan">
      <formula>0</formula>
    </cfRule>
    <cfRule type="cellIs" dxfId="33" priority="44" operator="equal">
      <formula>0</formula>
    </cfRule>
    <cfRule type="cellIs" dxfId="32" priority="45" operator="greaterThan">
      <formula>"2^15"</formula>
    </cfRule>
  </conditionalFormatting>
  <conditionalFormatting sqref="P125">
    <cfRule type="cellIs" dxfId="31" priority="40" operator="lessThan">
      <formula>0</formula>
    </cfRule>
    <cfRule type="cellIs" dxfId="30" priority="41" operator="equal">
      <formula>0</formula>
    </cfRule>
    <cfRule type="cellIs" dxfId="29" priority="42" operator="greaterThan">
      <formula>"2^15"</formula>
    </cfRule>
  </conditionalFormatting>
  <conditionalFormatting sqref="P126">
    <cfRule type="cellIs" dxfId="28" priority="37" operator="lessThan">
      <formula>0</formula>
    </cfRule>
    <cfRule type="cellIs" dxfId="27" priority="38" operator="equal">
      <formula>0</formula>
    </cfRule>
    <cfRule type="cellIs" dxfId="26" priority="39" operator="greaterThan">
      <formula>"2^15"</formula>
    </cfRule>
  </conditionalFormatting>
  <conditionalFormatting sqref="P119">
    <cfRule type="cellIs" dxfId="25" priority="31" operator="greaterThan">
      <formula>"(2^29)-1"</formula>
    </cfRule>
  </conditionalFormatting>
  <conditionalFormatting sqref="P104:P107">
    <cfRule type="cellIs" dxfId="24" priority="30" operator="lessThan">
      <formula>-2^29</formula>
    </cfRule>
  </conditionalFormatting>
  <conditionalFormatting sqref="P120">
    <cfRule type="cellIs" dxfId="23" priority="29" operator="lessThan">
      <formula>-2^29</formula>
    </cfRule>
  </conditionalFormatting>
  <conditionalFormatting sqref="P130">
    <cfRule type="cellIs" dxfId="22" priority="28" operator="greaterThan">
      <formula>"(2^29)-1"</formula>
    </cfRule>
  </conditionalFormatting>
  <conditionalFormatting sqref="P131">
    <cfRule type="cellIs" dxfId="21" priority="27" operator="lessThan">
      <formula>-2^29</formula>
    </cfRule>
  </conditionalFormatting>
  <conditionalFormatting sqref="P134">
    <cfRule type="cellIs" dxfId="20" priority="24" operator="lessThan">
      <formula>0</formula>
    </cfRule>
    <cfRule type="cellIs" dxfId="19" priority="25" operator="equal">
      <formula>0</formula>
    </cfRule>
    <cfRule type="cellIs" dxfId="18" priority="26" operator="greaterThan">
      <formula>"2^15"</formula>
    </cfRule>
  </conditionalFormatting>
  <conditionalFormatting sqref="P135">
    <cfRule type="cellIs" dxfId="17" priority="21" operator="lessThan">
      <formula>0</formula>
    </cfRule>
    <cfRule type="cellIs" dxfId="16" priority="22" operator="equal">
      <formula>0</formula>
    </cfRule>
    <cfRule type="cellIs" dxfId="15" priority="23" operator="greaterThan">
      <formula>"2^15"</formula>
    </cfRule>
  </conditionalFormatting>
  <conditionalFormatting sqref="P139">
    <cfRule type="cellIs" dxfId="14" priority="20" operator="greaterThan">
      <formula>"(2^29)-1"</formula>
    </cfRule>
  </conditionalFormatting>
  <conditionalFormatting sqref="P140">
    <cfRule type="cellIs" dxfId="13" priority="19" operator="lessThan">
      <formula>-2^29</formula>
    </cfRule>
  </conditionalFormatting>
  <conditionalFormatting sqref="P116">
    <cfRule type="cellIs" dxfId="12" priority="17" operator="greaterThan">
      <formula>13</formula>
    </cfRule>
  </conditionalFormatting>
  <conditionalFormatting sqref="P127">
    <cfRule type="cellIs" dxfId="11" priority="16" operator="greaterThan">
      <formula>13</formula>
    </cfRule>
  </conditionalFormatting>
  <conditionalFormatting sqref="P136">
    <cfRule type="cellIs" dxfId="10" priority="15" operator="greaterThan">
      <formula>13</formula>
    </cfRule>
  </conditionalFormatting>
  <conditionalFormatting sqref="P151">
    <cfRule type="cellIs" dxfId="9" priority="12" operator="lessThan">
      <formula>0</formula>
    </cfRule>
    <cfRule type="cellIs" dxfId="8" priority="13" operator="equal">
      <formula>0</formula>
    </cfRule>
    <cfRule type="cellIs" dxfId="7" priority="14" operator="greaterThan">
      <formula>"2^15"</formula>
    </cfRule>
  </conditionalFormatting>
  <conditionalFormatting sqref="P152">
    <cfRule type="cellIs" dxfId="6" priority="9" operator="lessThan">
      <formula>0</formula>
    </cfRule>
    <cfRule type="cellIs" dxfId="5" priority="10" operator="equal">
      <formula>0</formula>
    </cfRule>
    <cfRule type="cellIs" dxfId="4" priority="11" operator="greaterThan">
      <formula>"2^15"</formula>
    </cfRule>
  </conditionalFormatting>
  <conditionalFormatting sqref="P156">
    <cfRule type="cellIs" dxfId="3" priority="8" operator="greaterThan">
      <formula>"(2^29)-1"</formula>
    </cfRule>
  </conditionalFormatting>
  <conditionalFormatting sqref="P157:P199">
    <cfRule type="cellIs" dxfId="2" priority="7" operator="lessThan">
      <formula>-2^29</formula>
    </cfRule>
  </conditionalFormatting>
  <conditionalFormatting sqref="P153">
    <cfRule type="cellIs" dxfId="1" priority="6" operator="greaterThan">
      <formula>13</formula>
    </cfRule>
  </conditionalFormatting>
  <conditionalFormatting sqref="R216">
    <cfRule type="cellIs" dxfId="0" priority="4" operator="greaterThan">
      <formula>2</formula>
    </cfRule>
  </conditionalFormatting>
  <dataValidations count="13">
    <dataValidation type="list" allowBlank="1" showInputMessage="1" showErrorMessage="1" sqref="D39 D105:D107 D110 D120 D129 D138 D143 D155 D159 D167:D168 D173 D177 D182 D188 D191 D198 D32:D33 D171 D79 D205 D250 D274 D263" xr:uid="{C271A1E7-03D7-4D6D-A0B1-D38D4CFAE65E}">
      <formula1>"ENABLED,DISABLED"</formula1>
    </dataValidation>
    <dataValidation type="list" allowBlank="1" showInputMessage="1" showErrorMessage="1" sqref="D42" xr:uid="{F77A650E-2670-46F8-8A3C-6C6D2EC98586}">
      <formula1>"ROTOR_IPD_PRE_ALIGNMENT,ROTOR_IPD_INDUCTIVE_SENSING,ROTOR_IPD_NONE"</formula1>
    </dataValidation>
    <dataValidation type="list" allowBlank="1" showInputMessage="1" showErrorMessage="1" sqref="D43" xr:uid="{5535B6FE-7A6E-4C86-8BDE-942C193C3E32}">
      <formula1>"MOTOR_STARTUP_DIRECT_FOC,MOTOR_STARTUP_VF_OPEN_LOOP"</formula1>
    </dataValidation>
    <dataValidation type="list" allowBlank="1" showInputMessage="1" showErrorMessage="1" sqref="D44:D46" xr:uid="{E2257B1B-DC54-4BF9-94B7-4CB6959242AF}">
      <formula1>"MOTOR_STOP_LOW_SIDE_BRAKE,MOTOR_STOP_COASTING"</formula1>
    </dataValidation>
    <dataValidation type="list" allowBlank="1" showInputMessage="1" showErrorMessage="1" sqref="D77" xr:uid="{4F44C724-B47A-4271-AA29-7BC32929BA99}">
      <formula1>"STANDARD_SVM_5_SEGMENT,STANDARD_SVM_7_SEGMENT"</formula1>
    </dataValidation>
    <dataValidation type="list" allowBlank="1" showInputMessage="1" showErrorMessage="1" sqref="D78" xr:uid="{47CFA0C2-2305-42DE-8438-0DDE66D17872}">
      <formula1>"256,1024"</formula1>
    </dataValidation>
    <dataValidation type="list" allowBlank="1" showInputMessage="1" showErrorMessage="1" sqref="D211:D212" xr:uid="{5925BD54-651F-446C-BE1D-13EE806C9240}">
      <formula1>"THREE_SHUNT_SYNC_CONV,THREE_SHUNT_ASYNC_CONV"</formula1>
    </dataValidation>
    <dataValidation type="list" allowBlank="1" showInputMessage="1" showErrorMessage="1" sqref="D23" xr:uid="{EEB1F646-1DC4-4B78-95B0-3CCEB6496366}">
      <formula1>"MICRIUM_UC_ONLY,BY_POT_ONLY"</formula1>
    </dataValidation>
    <dataValidation type="list" allowBlank="1" showInputMessage="1" showErrorMessage="1" sqref="D29" xr:uid="{1FBA2436-46D2-49E1-8AFB-81595C61B829}">
      <formula1>"__RAM_FUNC,None"</formula1>
    </dataValidation>
    <dataValidation type="list" allowBlank="1" showInputMessage="1" showErrorMessage="1" sqref="D209" xr:uid="{221924A2-5CD0-4E19-8DB1-052A4D47B169}">
      <formula1>"4,8,12,16,20,24,32,64"</formula1>
    </dataValidation>
    <dataValidation type="list" allowBlank="1" showInputMessage="1" showErrorMessage="1" sqref="D229" xr:uid="{3130EBB8-C8B1-4030-8C29-FF169901D22B}">
      <formula1>"PVCC_7V,PVCC_10V,PVCC_12V,PVCC_15V"</formula1>
    </dataValidation>
    <dataValidation type="list" allowBlank="1" showInputMessage="1" showErrorMessage="1" sqref="D232" xr:uid="{E95C4AD0-56A6-4E14-A29F-4B2EE49C691A}">
      <formula1>"PRECHAR_MODE_EN,PRECHAR_MODE_DIS"</formula1>
    </dataValidation>
    <dataValidation type="list" allowBlank="1" showInputMessage="1" showErrorMessage="1" sqref="D251" xr:uid="{B30C4996-DD6F-4FFF-B8BB-2388765DA243}">
      <formula1>"8,16,32,64,128,256,512"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F45DC7C3-1933-48E4-A88A-7FE7D4F2A75C}">
          <x14:formula1>
            <xm:f>pmsm_foc_const.h!$B$37:$B$40</xm:f>
          </x14:formula1>
          <xm:sqref>D36</xm:sqref>
        </x14:dataValidation>
        <x14:dataValidation type="list" allowBlank="1" showInputMessage="1" showErrorMessage="1" xr:uid="{685A37CF-A526-4A31-A651-A0AE905F4E8B}">
          <x14:formula1>
            <xm:f>'6EDL7141_CONFIG_MACRO'!$A$20:$A$23</xm:f>
          </x14:formula1>
          <xm:sqref>D230</xm:sqref>
        </x14:dataValidation>
        <x14:dataValidation type="list" allowBlank="1" showInputMessage="1" showErrorMessage="1" xr:uid="{58822D97-2F65-45ED-88FF-8C8DDF612AC1}">
          <x14:formula1>
            <xm:f>'6EDL7141_CONFIG_MACRO'!$A$26:$A$27</xm:f>
          </x14:formula1>
          <xm:sqref>D231</xm:sqref>
        </x14:dataValidation>
        <x14:dataValidation type="list" allowBlank="1" showInputMessage="1" showErrorMessage="1" xr:uid="{E441F4CC-BAD2-4001-86FA-D443D175627F}">
          <x14:formula1>
            <xm:f>'6EDL7141_CONFIG_MACRO'!A2:A17</xm:f>
          </x14:formula1>
          <xm:sqref>D233</xm:sqref>
        </x14:dataValidation>
        <x14:dataValidation type="list" allowBlank="1" showInputMessage="1" showErrorMessage="1" xr:uid="{045CF432-DEF8-41C1-84C0-C0EE86C04B11}">
          <x14:formula1>
            <xm:f>'6EDL7141_CONFIG_MACRO'!A2:A17</xm:f>
          </x14:formula1>
          <xm:sqref>D234</xm:sqref>
        </x14:dataValidation>
        <x14:dataValidation type="list" allowBlank="1" showInputMessage="1" showErrorMessage="1" xr:uid="{0F509E99-8520-4553-8A23-9BBFA2E3EF7D}">
          <x14:formula1>
            <xm:f>'6EDL7141_CONFIG_MACRO'!B2:B17</xm:f>
          </x14:formula1>
          <xm:sqref>D236</xm:sqref>
        </x14:dataValidation>
        <x14:dataValidation type="list" allowBlank="1" showInputMessage="1" showErrorMessage="1" xr:uid="{4FBFE300-0709-447C-8781-63EC5E26D53A}">
          <x14:formula1>
            <xm:f>'6EDL7141_CONFIG_MACRO'!B2:B17</xm:f>
          </x14:formula1>
          <xm:sqref>D235</xm:sqref>
        </x14:dataValidation>
        <x14:dataValidation type="list" allowBlank="1" showInputMessage="1" showErrorMessage="1" xr:uid="{76EFDA36-6F87-4037-915B-BECD6379ED8B}">
          <x14:formula1>
            <xm:f>'6EDL7141_CONFIG_MACRO'!B2:B17</xm:f>
          </x14:formula1>
          <xm:sqref>D237</xm:sqref>
        </x14:dataValidation>
        <x14:dataValidation type="list" allowBlank="1" showInputMessage="1" showErrorMessage="1" xr:uid="{21ABB5BA-0B62-4A61-B4CD-B9C556FA36CA}">
          <x14:formula1>
            <xm:f>'6EDL7141_CONFIG_MACRO'!B2:B17</xm:f>
          </x14:formula1>
          <xm:sqref>D238</xm:sqref>
        </x14:dataValidation>
        <x14:dataValidation type="list" allowBlank="1" showInputMessage="1" showErrorMessage="1" xr:uid="{E59EBF02-231D-467C-8EF0-12C45F7919EB}">
          <x14:formula1>
            <xm:f>'6EDL7141_CONFIG_MACRO'!C2:C257</xm:f>
          </x14:formula1>
          <xm:sqref>D239</xm:sqref>
        </x14:dataValidation>
        <x14:dataValidation type="list" allowBlank="1" showInputMessage="1" showErrorMessage="1" xr:uid="{C3F12BB0-3D52-4618-BA62-77E9FA8DEF55}">
          <x14:formula1>
            <xm:f>'6EDL7141_CONFIG_MACRO'!D2:D257</xm:f>
          </x14:formula1>
          <xm:sqref>D240</xm:sqref>
        </x14:dataValidation>
        <x14:dataValidation type="list" allowBlank="1" showInputMessage="1" showErrorMessage="1" xr:uid="{1858D817-CC0B-4744-9F10-EC6329172750}">
          <x14:formula1>
            <xm:f>'6EDL7141_CONFIG_MACRO'!E2:E258</xm:f>
          </x14:formula1>
          <xm:sqref>D241</xm:sqref>
        </x14:dataValidation>
        <x14:dataValidation type="list" allowBlank="1" showInputMessage="1" showErrorMessage="1" xr:uid="{E6DF5993-5165-48B7-A948-0E98F40965B1}">
          <x14:formula1>
            <xm:f>'6EDL7141_CONFIG_MACRO'!F2:F258</xm:f>
          </x14:formula1>
          <xm:sqref>D242</xm:sqref>
        </x14:dataValidation>
        <x14:dataValidation type="list" allowBlank="1" showInputMessage="1" showErrorMessage="1" xr:uid="{8075AA69-07D6-4978-AB1A-646C6820F87B}">
          <x14:formula1>
            <xm:f>'6EDL7141_CONFIG_MACRO'!G2:G151</xm:f>
          </x14:formula1>
          <xm:sqref>D243</xm:sqref>
        </x14:dataValidation>
        <x14:dataValidation type="list" allowBlank="1" showInputMessage="1" showErrorMessage="1" xr:uid="{FB4BF522-E171-4C86-99A1-4348380C0032}">
          <x14:formula1>
            <xm:f>'6EDL7141_CONFIG_MACRO'!G2:G151</xm:f>
          </x14:formula1>
          <xm:sqref>D244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07AD1-4C41-4F47-B82C-73023D97795C}">
  <sheetPr codeName="Sheet3"/>
  <dimension ref="A1:D340"/>
  <sheetViews>
    <sheetView topLeftCell="A171" zoomScale="85" zoomScaleNormal="85" workbookViewId="0">
      <selection activeCell="C204" sqref="C204"/>
    </sheetView>
  </sheetViews>
  <sheetFormatPr defaultRowHeight="15" x14ac:dyDescent="0.25"/>
  <cols>
    <col min="1" max="1" width="8.140625" bestFit="1" customWidth="1"/>
    <col min="2" max="2" width="47.85546875" bestFit="1" customWidth="1"/>
    <col min="3" max="3" width="67.28515625" style="83" bestFit="1" customWidth="1"/>
    <col min="4" max="4" width="15.140625" customWidth="1"/>
  </cols>
  <sheetData>
    <row r="1" spans="1:4" ht="409.5" customHeight="1" x14ac:dyDescent="0.25">
      <c r="A1" s="325" t="s">
        <v>1747</v>
      </c>
      <c r="B1" s="325"/>
      <c r="C1" s="325"/>
    </row>
    <row r="2" spans="1:4" ht="408.75" customHeight="1" x14ac:dyDescent="0.25">
      <c r="A2" s="325"/>
      <c r="B2" s="325"/>
      <c r="C2" s="325"/>
    </row>
    <row r="3" spans="1:4" ht="57.75" customHeight="1" x14ac:dyDescent="0.25">
      <c r="A3" s="325"/>
      <c r="B3" s="325"/>
      <c r="C3" s="325"/>
    </row>
    <row r="4" spans="1:4" x14ac:dyDescent="0.25">
      <c r="A4" s="324" t="s">
        <v>281</v>
      </c>
      <c r="B4" s="324"/>
      <c r="C4" s="324"/>
      <c r="D4" s="324"/>
    </row>
    <row r="5" spans="1:4" x14ac:dyDescent="0.25">
      <c r="A5" t="s">
        <v>118</v>
      </c>
      <c r="B5" t="s">
        <v>282</v>
      </c>
      <c r="C5" s="83">
        <f>MOTOR_LQ_SCALEDUP</f>
        <v>5821</v>
      </c>
    </row>
    <row r="6" spans="1:4" x14ac:dyDescent="0.25">
      <c r="A6" t="s">
        <v>118</v>
      </c>
      <c r="B6" t="s">
        <v>283</v>
      </c>
      <c r="C6" s="83">
        <f>MOTOR_LD_SCALEDUP</f>
        <v>5821</v>
      </c>
    </row>
    <row r="7" spans="1:4" x14ac:dyDescent="0.25">
      <c r="A7" t="s">
        <v>118</v>
      </c>
      <c r="B7" t="s">
        <v>284</v>
      </c>
      <c r="C7" s="83">
        <f>MOTOR_SCALE_OF_L</f>
        <v>15</v>
      </c>
    </row>
    <row r="8" spans="1:4" x14ac:dyDescent="0.25">
      <c r="A8" t="s">
        <v>118</v>
      </c>
      <c r="B8" t="s">
        <v>285</v>
      </c>
      <c r="C8" s="83">
        <f>MOTOR_R_SCALEDUP</f>
        <v>1493</v>
      </c>
    </row>
    <row r="9" spans="1:4" x14ac:dyDescent="0.25">
      <c r="A9" t="s">
        <v>118</v>
      </c>
      <c r="B9" t="s">
        <v>286</v>
      </c>
      <c r="C9" s="83">
        <f>MOTOR_SCALE_OF_R</f>
        <v>14</v>
      </c>
    </row>
    <row r="10" spans="1:4" x14ac:dyDescent="0.25">
      <c r="A10" t="s">
        <v>118</v>
      </c>
      <c r="B10" t="s">
        <v>509</v>
      </c>
      <c r="C10" s="83">
        <f>MOTOR_FLUX_LINKAGE_CONSTANT</f>
        <v>903</v>
      </c>
    </row>
    <row r="11" spans="1:4" x14ac:dyDescent="0.25">
      <c r="A11" t="s">
        <v>118</v>
      </c>
      <c r="B11" t="s">
        <v>510</v>
      </c>
      <c r="C11" s="83">
        <f>MOTOR_SCALE_OF_FLUX_LINKAGE_CONSTANT</f>
        <v>13</v>
      </c>
    </row>
    <row r="13" spans="1:4" x14ac:dyDescent="0.25">
      <c r="A13" s="324" t="s">
        <v>1774</v>
      </c>
      <c r="B13" s="324"/>
      <c r="C13" s="324"/>
    </row>
    <row r="14" spans="1:4" x14ac:dyDescent="0.25">
      <c r="A14" s="1" t="s">
        <v>118</v>
      </c>
      <c r="B14" s="82" t="s">
        <v>1775</v>
      </c>
      <c r="C14" s="1">
        <f>USER_AUTHENTICATION_ID</f>
        <v>35</v>
      </c>
    </row>
    <row r="15" spans="1:4" x14ac:dyDescent="0.25">
      <c r="A15" s="1" t="s">
        <v>118</v>
      </c>
      <c r="B15" t="s">
        <v>1773</v>
      </c>
      <c r="C15" s="83">
        <f>USER_PASSWORD</f>
        <v>4281791882</v>
      </c>
    </row>
    <row r="16" spans="1:4" x14ac:dyDescent="0.25">
      <c r="A16" s="1"/>
    </row>
    <row r="17" spans="1:3" x14ac:dyDescent="0.25">
      <c r="A17" s="324" t="s">
        <v>401</v>
      </c>
      <c r="B17" s="324"/>
      <c r="C17" s="324"/>
    </row>
    <row r="18" spans="1:3" x14ac:dyDescent="0.25">
      <c r="A18" t="s">
        <v>118</v>
      </c>
      <c r="B18" t="s">
        <v>400</v>
      </c>
      <c r="C18" s="83" t="str">
        <f>USER_CURRENT_SENSING</f>
        <v>THREE_SHUNT_SYNC_CONV</v>
      </c>
    </row>
    <row r="20" spans="1:3" x14ac:dyDescent="0.25">
      <c r="A20" s="324" t="s">
        <v>402</v>
      </c>
      <c r="B20" s="324"/>
      <c r="C20" s="324"/>
    </row>
    <row r="21" spans="1:3" x14ac:dyDescent="0.25">
      <c r="A21" s="1" t="s">
        <v>118</v>
      </c>
      <c r="B21" s="82" t="s">
        <v>403</v>
      </c>
      <c r="C21" s="1" t="str">
        <f>USER_FOC_CTRL_SCHEME</f>
        <v>TORQUE_CTRL</v>
      </c>
    </row>
    <row r="22" spans="1:3" x14ac:dyDescent="0.25">
      <c r="A22" s="1"/>
      <c r="B22" s="1"/>
      <c r="C22" s="1"/>
    </row>
    <row r="23" spans="1:3" x14ac:dyDescent="0.25">
      <c r="A23" s="324" t="s">
        <v>404</v>
      </c>
      <c r="B23" s="324"/>
      <c r="C23" s="324"/>
    </row>
    <row r="24" spans="1:3" x14ac:dyDescent="0.25">
      <c r="A24" s="1" t="s">
        <v>118</v>
      </c>
      <c r="B24" s="82" t="s">
        <v>405</v>
      </c>
      <c r="C24" s="1" t="str">
        <f>USER_MOTOR_BI_DIRECTION_CTRL</f>
        <v>DISABLED</v>
      </c>
    </row>
    <row r="25" spans="1:3" x14ac:dyDescent="0.25">
      <c r="A25" s="1"/>
      <c r="B25" s="82"/>
      <c r="C25" s="1"/>
    </row>
    <row r="26" spans="1:3" x14ac:dyDescent="0.25">
      <c r="A26" s="324" t="s">
        <v>406</v>
      </c>
      <c r="B26" s="324"/>
      <c r="C26" s="324"/>
    </row>
    <row r="27" spans="1:3" x14ac:dyDescent="0.25">
      <c r="A27" s="1" t="s">
        <v>118</v>
      </c>
      <c r="B27" s="82" t="s">
        <v>407</v>
      </c>
      <c r="C27" s="1" t="str">
        <f>USER_ROTOR_IPD_METHOD</f>
        <v>ROTOR_IPD_PRE_ALIGNMENT</v>
      </c>
    </row>
    <row r="28" spans="1:3" x14ac:dyDescent="0.25">
      <c r="A28" s="1" t="s">
        <v>118</v>
      </c>
      <c r="B28" s="82" t="s">
        <v>408</v>
      </c>
      <c r="C28" s="1" t="str">
        <f>USER_MOTOR_STARTUP_METHOD</f>
        <v>MOTOR_STARTUP_DIRECT_FOC</v>
      </c>
    </row>
    <row r="29" spans="1:3" x14ac:dyDescent="0.25">
      <c r="A29" s="1"/>
      <c r="B29" s="82"/>
      <c r="C29" s="1"/>
    </row>
    <row r="30" spans="1:3" x14ac:dyDescent="0.25">
      <c r="A30" s="324" t="s">
        <v>467</v>
      </c>
      <c r="B30" s="324"/>
      <c r="C30" s="324"/>
    </row>
    <row r="31" spans="1:3" x14ac:dyDescent="0.25">
      <c r="A31" s="1" t="s">
        <v>118</v>
      </c>
      <c r="B31" s="82" t="s">
        <v>409</v>
      </c>
      <c r="C31" s="1" t="str">
        <f>USER_MOTOR_STOP_METHOD</f>
        <v>MOTOR_STOP_COASTING</v>
      </c>
    </row>
    <row r="32" spans="1:3" x14ac:dyDescent="0.25">
      <c r="A32" s="1"/>
      <c r="B32" s="82"/>
      <c r="C32" s="1"/>
    </row>
    <row r="33" spans="1:3" x14ac:dyDescent="0.25">
      <c r="A33" s="324" t="s">
        <v>410</v>
      </c>
      <c r="B33" s="324"/>
      <c r="C33" s="324"/>
    </row>
    <row r="34" spans="1:3" x14ac:dyDescent="0.25">
      <c r="A34" s="1" t="s">
        <v>118</v>
      </c>
      <c r="B34" s="82" t="s">
        <v>411</v>
      </c>
      <c r="C34" s="1" t="str">
        <f>USER_UCPROBE_GUI</f>
        <v>ENABLED</v>
      </c>
    </row>
    <row r="35" spans="1:3" x14ac:dyDescent="0.25">
      <c r="A35" s="1" t="s">
        <v>118</v>
      </c>
      <c r="B35" s="82" t="s">
        <v>412</v>
      </c>
      <c r="C35" s="1" t="str">
        <f>USER_UCPROBE_OSCILLOSCOPE</f>
        <v>ENABLED</v>
      </c>
    </row>
    <row r="36" spans="1:3" x14ac:dyDescent="0.25">
      <c r="A36" s="1"/>
      <c r="B36" s="82"/>
      <c r="C36" s="1"/>
    </row>
    <row r="37" spans="1:3" x14ac:dyDescent="0.25">
      <c r="A37" s="324" t="s">
        <v>419</v>
      </c>
      <c r="B37" s="324"/>
      <c r="C37" s="324"/>
    </row>
    <row r="38" spans="1:3" x14ac:dyDescent="0.25">
      <c r="A38" s="1" t="s">
        <v>118</v>
      </c>
      <c r="B38" s="82" t="s">
        <v>415</v>
      </c>
      <c r="C38" s="1" t="str">
        <f>USER_REF_SETTING</f>
        <v>MICRIUM_UC_ONLY</v>
      </c>
    </row>
    <row r="39" spans="1:3" x14ac:dyDescent="0.25">
      <c r="A39" s="1" t="s">
        <v>118</v>
      </c>
      <c r="B39" s="82" t="s">
        <v>416</v>
      </c>
      <c r="C39" s="1">
        <f>USER_TH_POT_ADC_START</f>
        <v>20</v>
      </c>
    </row>
    <row r="40" spans="1:3" x14ac:dyDescent="0.25">
      <c r="A40" s="1" t="s">
        <v>118</v>
      </c>
      <c r="B40" s="82" t="s">
        <v>417</v>
      </c>
      <c r="C40" s="1">
        <f>USER_TH_POT_ADC_STOP</f>
        <v>10</v>
      </c>
    </row>
    <row r="41" spans="1:3" x14ac:dyDescent="0.25">
      <c r="A41" s="1" t="s">
        <v>118</v>
      </c>
      <c r="B41" s="82" t="s">
        <v>418</v>
      </c>
      <c r="C41" s="1">
        <f>USER_POT_ADC_LPF</f>
        <v>1</v>
      </c>
    </row>
    <row r="42" spans="1:3" x14ac:dyDescent="0.25">
      <c r="A42" s="1"/>
      <c r="B42" s="82"/>
      <c r="C42" s="1"/>
    </row>
    <row r="43" spans="1:3" x14ac:dyDescent="0.25">
      <c r="A43" s="324" t="s">
        <v>129</v>
      </c>
      <c r="B43" s="324"/>
      <c r="C43" s="324"/>
    </row>
    <row r="44" spans="1:3" x14ac:dyDescent="0.25">
      <c r="A44" t="s">
        <v>118</v>
      </c>
      <c r="B44" t="s">
        <v>119</v>
      </c>
      <c r="C44" s="83">
        <f>TEMP_SENSOR_OFFSET</f>
        <v>393</v>
      </c>
    </row>
    <row r="45" spans="1:3" x14ac:dyDescent="0.25">
      <c r="A45" t="s">
        <v>118</v>
      </c>
      <c r="B45" t="s">
        <v>126</v>
      </c>
      <c r="C45" s="83">
        <f>TEMP_SENSOR_COEFFICIENT_Q15</f>
        <v>2100</v>
      </c>
    </row>
    <row r="48" spans="1:3" x14ac:dyDescent="0.25">
      <c r="A48" s="324" t="s">
        <v>130</v>
      </c>
      <c r="B48" s="324"/>
      <c r="C48" s="324"/>
    </row>
    <row r="49" spans="1:4" x14ac:dyDescent="0.25">
      <c r="A49" s="1" t="s">
        <v>118</v>
      </c>
      <c r="B49" s="82" t="s">
        <v>134</v>
      </c>
      <c r="C49" s="1">
        <f>USER_PCLK_FREQ_MHz</f>
        <v>96</v>
      </c>
    </row>
    <row r="50" spans="1:4" x14ac:dyDescent="0.25">
      <c r="A50" t="s">
        <v>118</v>
      </c>
      <c r="B50" t="s">
        <v>131</v>
      </c>
      <c r="C50" s="83">
        <f>CCU8_PERIOD_REG</f>
        <v>4799</v>
      </c>
    </row>
    <row r="51" spans="1:4" x14ac:dyDescent="0.25">
      <c r="A51" t="s">
        <v>118</v>
      </c>
      <c r="B51" t="s">
        <v>132</v>
      </c>
      <c r="C51" s="83">
        <f>CCU8_DEADTIME_RISE</f>
        <v>73</v>
      </c>
      <c r="D51" s="1"/>
    </row>
    <row r="52" spans="1:4" x14ac:dyDescent="0.25">
      <c r="A52" t="s">
        <v>118</v>
      </c>
      <c r="B52" t="s">
        <v>133</v>
      </c>
      <c r="C52" s="83">
        <f>CCU8_DEADTIME_FALL</f>
        <v>73</v>
      </c>
    </row>
    <row r="53" spans="1:4" x14ac:dyDescent="0.25">
      <c r="A53" t="s">
        <v>118</v>
      </c>
      <c r="B53" t="s">
        <v>1794</v>
      </c>
      <c r="C53" s="83" t="str">
        <f>DEAD_TIME_STALL_FLAG_COMPENSATION</f>
        <v>ENABLED</v>
      </c>
    </row>
    <row r="54" spans="1:4" x14ac:dyDescent="0.25">
      <c r="A54" t="s">
        <v>118</v>
      </c>
      <c r="B54" t="s">
        <v>1795</v>
      </c>
      <c r="C54" s="83">
        <f>DT_COMPENSATION_V_INT</f>
        <v>398</v>
      </c>
    </row>
    <row r="56" spans="1:4" x14ac:dyDescent="0.25">
      <c r="A56" s="324" t="s">
        <v>137</v>
      </c>
      <c r="B56" s="324"/>
      <c r="C56" s="324"/>
    </row>
    <row r="57" spans="1:4" x14ac:dyDescent="0.25">
      <c r="A57" t="s">
        <v>118</v>
      </c>
      <c r="B57" t="s">
        <v>138</v>
      </c>
      <c r="C57" s="83">
        <f>GDRIVER_IC_DELAY</f>
        <v>19</v>
      </c>
      <c r="D57" s="1"/>
    </row>
    <row r="59" spans="1:4" x14ac:dyDescent="0.25">
      <c r="A59" s="324" t="s">
        <v>139</v>
      </c>
      <c r="B59" s="324"/>
      <c r="C59" s="324"/>
    </row>
    <row r="60" spans="1:4" x14ac:dyDescent="0.25">
      <c r="A60" t="s">
        <v>118</v>
      </c>
      <c r="B60" t="s">
        <v>140</v>
      </c>
      <c r="C60" s="83">
        <f>(USER_MCLK_FREQ_MHz * USER_SLOW_CTRL_LOOP_PERIOD_US)</f>
        <v>9600</v>
      </c>
    </row>
    <row r="62" spans="1:4" x14ac:dyDescent="0.25">
      <c r="A62" s="324" t="s">
        <v>506</v>
      </c>
      <c r="B62" s="324"/>
      <c r="C62" s="324"/>
      <c r="D62" s="1"/>
    </row>
    <row r="63" spans="1:4" x14ac:dyDescent="0.25">
      <c r="A63" t="s">
        <v>118</v>
      </c>
      <c r="B63" t="s">
        <v>144</v>
      </c>
      <c r="C63" s="83">
        <f>BOOTSTRAP_BRAKE_TIME</f>
        <v>400</v>
      </c>
    </row>
    <row r="64" spans="1:4" x14ac:dyDescent="0.25">
      <c r="A64" t="s">
        <v>118</v>
      </c>
      <c r="B64" t="s">
        <v>1829</v>
      </c>
      <c r="C64" s="83">
        <f>COASTING_PRECHARGE_TIME</f>
        <v>400</v>
      </c>
    </row>
    <row r="65" spans="1:4" x14ac:dyDescent="0.25">
      <c r="A65" t="s">
        <v>118</v>
      </c>
      <c r="B65" t="s">
        <v>1886</v>
      </c>
      <c r="C65" s="83">
        <f>BRAKE_MIN_SPEED</f>
        <v>2668</v>
      </c>
    </row>
    <row r="67" spans="1:4" x14ac:dyDescent="0.25">
      <c r="A67" s="324" t="s">
        <v>145</v>
      </c>
      <c r="B67" s="324"/>
      <c r="C67" s="324"/>
      <c r="D67" s="1"/>
    </row>
    <row r="68" spans="1:4" x14ac:dyDescent="0.25">
      <c r="A68" t="s">
        <v>118</v>
      </c>
      <c r="B68" t="s">
        <v>91</v>
      </c>
      <c r="C68" s="83">
        <f>STARTUP_VF_TRANSITION_SPEED</f>
        <v>3048</v>
      </c>
    </row>
    <row r="69" spans="1:4" x14ac:dyDescent="0.25">
      <c r="A69" t="s">
        <v>118</v>
      </c>
      <c r="B69" t="s">
        <v>89</v>
      </c>
      <c r="C69" s="83">
        <f>STARTUP_VF_OFFSET</f>
        <v>512</v>
      </c>
    </row>
    <row r="70" spans="1:4" x14ac:dyDescent="0.25">
      <c r="A70" t="s">
        <v>118</v>
      </c>
      <c r="B70" t="s">
        <v>90</v>
      </c>
      <c r="C70" s="83">
        <f>STARTUP_VF_V_PER_HZ_CONST</f>
        <v>0</v>
      </c>
      <c r="D70" s="1"/>
    </row>
    <row r="71" spans="1:4" x14ac:dyDescent="0.25">
      <c r="A71" t="s">
        <v>118</v>
      </c>
      <c r="B71" t="s">
        <v>92</v>
      </c>
      <c r="C71" s="83">
        <f>STARTUP_VF_SPEED_RAMP_UP_RATE</f>
        <v>52</v>
      </c>
    </row>
    <row r="72" spans="1:4" x14ac:dyDescent="0.25">
      <c r="A72" t="s">
        <v>118</v>
      </c>
      <c r="B72" t="s">
        <v>95</v>
      </c>
      <c r="C72" s="83">
        <f>STARTUP_VF_STABILIZATION_COUNT</f>
        <v>1000</v>
      </c>
    </row>
    <row r="73" spans="1:4" x14ac:dyDescent="0.25">
      <c r="D73" s="1"/>
    </row>
    <row r="74" spans="1:4" x14ac:dyDescent="0.25">
      <c r="A74" s="324" t="s">
        <v>146</v>
      </c>
      <c r="B74" s="324"/>
      <c r="C74" s="324"/>
    </row>
    <row r="75" spans="1:4" x14ac:dyDescent="0.25">
      <c r="A75" t="s">
        <v>118</v>
      </c>
      <c r="B75" t="s">
        <v>147</v>
      </c>
      <c r="C75" s="83">
        <f>VQ_INITIAL_VALUE</f>
        <v>205</v>
      </c>
    </row>
    <row r="76" spans="1:4" x14ac:dyDescent="0.25">
      <c r="A76" t="s">
        <v>118</v>
      </c>
      <c r="B76" t="s">
        <v>152</v>
      </c>
      <c r="C76" s="83">
        <f>TRANSITION_FIRST_KICK_VALUE</f>
        <v>717</v>
      </c>
    </row>
    <row r="77" spans="1:4" x14ac:dyDescent="0.25">
      <c r="A77" t="s">
        <v>118</v>
      </c>
      <c r="B77" t="s">
        <v>153</v>
      </c>
      <c r="C77" s="83">
        <f>TRANSITION_FIRST_KICK_COUNT</f>
        <v>160</v>
      </c>
    </row>
    <row r="79" spans="1:4" x14ac:dyDescent="0.25">
      <c r="A79" s="324" t="s">
        <v>287</v>
      </c>
      <c r="B79" s="324"/>
      <c r="C79" s="324"/>
    </row>
    <row r="80" spans="1:4" x14ac:dyDescent="0.25">
      <c r="A80" s="1" t="s">
        <v>118</v>
      </c>
      <c r="B80" s="82" t="s">
        <v>420</v>
      </c>
      <c r="C80" s="1" t="str">
        <f>USER_SVM_SWITCHING_SCHEME</f>
        <v>STANDARD_SVM_7_SEGMENT</v>
      </c>
    </row>
    <row r="81" spans="1:4" x14ac:dyDescent="0.25">
      <c r="A81" s="1" t="s">
        <v>118</v>
      </c>
      <c r="B81" s="82" t="s">
        <v>421</v>
      </c>
      <c r="C81" s="1">
        <f>USER_SVM_SINE_LUT_SIZE</f>
        <v>1024</v>
      </c>
    </row>
    <row r="82" spans="1:4" x14ac:dyDescent="0.25">
      <c r="A82" s="1" t="s">
        <v>118</v>
      </c>
      <c r="B82" s="82" t="s">
        <v>422</v>
      </c>
      <c r="C82" s="1" t="str">
        <f>USER_SVM_OVERMODULATION</f>
        <v>DISABLED</v>
      </c>
    </row>
    <row r="83" spans="1:4" x14ac:dyDescent="0.25">
      <c r="A83" s="1" t="s">
        <v>118</v>
      </c>
      <c r="B83" s="82" t="s">
        <v>427</v>
      </c>
      <c r="C83" s="1">
        <f>15-ROUNDUP(LOG(((CCU8_PERIOD_REG * 1.1547 / 32767) * 32767),2),0)</f>
        <v>2</v>
      </c>
    </row>
    <row r="84" spans="1:4" x14ac:dyDescent="0.25">
      <c r="A84" s="1" t="s">
        <v>118</v>
      </c>
      <c r="B84" s="82" t="s">
        <v>288</v>
      </c>
      <c r="C84" s="1">
        <f>ROUND((((CCU8_PERIOD_REG * 1.1547 / 32767) * 32767) * (2^SCALE_UP_SINE_LUT)),0)</f>
        <v>22166</v>
      </c>
    </row>
    <row r="85" spans="1:4" x14ac:dyDescent="0.25">
      <c r="A85" s="1" t="s">
        <v>118</v>
      </c>
      <c r="B85" s="82" t="s">
        <v>426</v>
      </c>
      <c r="C85" s="1">
        <f>SVPWM_MAX_VREF</f>
        <v>28377</v>
      </c>
    </row>
    <row r="86" spans="1:4" x14ac:dyDescent="0.25">
      <c r="A86" s="1" t="s">
        <v>1776</v>
      </c>
      <c r="B86" s="82" t="s">
        <v>1777</v>
      </c>
      <c r="C86" s="83">
        <f>GDRIVER_IC_DELAY+0*CCU8_DEADTIME_RISE+CSOPAMP_SETTLING_TIME</f>
        <v>96</v>
      </c>
    </row>
    <row r="87" spans="1:4" x14ac:dyDescent="0.25">
      <c r="A87" s="1" t="s">
        <v>118</v>
      </c>
      <c r="B87" s="82" t="s">
        <v>1779</v>
      </c>
      <c r="C87" s="83">
        <f>IF((USER_CURRENT_SENSING="THREE_SHUNT_SYNC_CONV"),(10+ADC_TRIGGER_DELAY+CCU8_DEADTIME_RISE),(20+ADC_TRIGGER_DELAY+208+CCU8_DEADTIME_RISE))</f>
        <v>179</v>
      </c>
    </row>
    <row r="88" spans="1:4" x14ac:dyDescent="0.25">
      <c r="A88" s="1" t="s">
        <v>118</v>
      </c>
      <c r="B88" s="82" t="s">
        <v>1780</v>
      </c>
      <c r="C88" s="83">
        <f>IF((USER_CURRENT_SENSING="THREE_SHUNT_SYNC_CONV"),(2*(20+ADC_TRIGGER_DELAY+208+CCU8_DEADTIME_RISE)),(2*(30+ADC_TRIGGER_DELAY+312+CCU8_DEADTIME_RISE)))</f>
        <v>794</v>
      </c>
    </row>
    <row r="90" spans="1:4" x14ac:dyDescent="0.25">
      <c r="A90" s="324" t="s">
        <v>154</v>
      </c>
      <c r="B90" s="324"/>
      <c r="C90" s="324"/>
    </row>
    <row r="91" spans="1:4" x14ac:dyDescent="0.25">
      <c r="A91" s="1" t="s">
        <v>118</v>
      </c>
      <c r="B91" s="82" t="s">
        <v>442</v>
      </c>
      <c r="C91" s="1" t="str">
        <f>USER_MOTOR_STALL_DETECTION_ENABLE</f>
        <v>DISABLED</v>
      </c>
    </row>
    <row r="92" spans="1:4" x14ac:dyDescent="0.25">
      <c r="A92" t="s">
        <v>118</v>
      </c>
      <c r="B92" t="s">
        <v>45</v>
      </c>
      <c r="C92" s="83">
        <f>STALL_CURRENT</f>
        <v>1573</v>
      </c>
      <c r="D92" s="1"/>
    </row>
    <row r="93" spans="1:4" x14ac:dyDescent="0.25">
      <c r="A93" t="s">
        <v>118</v>
      </c>
      <c r="B93" t="s">
        <v>46</v>
      </c>
      <c r="C93" s="83">
        <f>STALL_THRESHOLD_TIME</f>
        <v>100</v>
      </c>
    </row>
    <row r="94" spans="1:4" x14ac:dyDescent="0.25">
      <c r="A94" t="s">
        <v>118</v>
      </c>
      <c r="B94" t="s">
        <v>155</v>
      </c>
      <c r="C94" s="83">
        <f>STALL_COEFFICIENT_SCALE</f>
        <v>13</v>
      </c>
    </row>
    <row r="95" spans="1:4" x14ac:dyDescent="0.25">
      <c r="A95" t="s">
        <v>118</v>
      </c>
      <c r="B95" t="s">
        <v>47</v>
      </c>
      <c r="C95" s="83">
        <f>STALL_COEFFICIENT_SCALEUP</f>
        <v>3277</v>
      </c>
    </row>
    <row r="96" spans="1:4" x14ac:dyDescent="0.25">
      <c r="A96" t="s">
        <v>118</v>
      </c>
      <c r="B96" t="s">
        <v>291</v>
      </c>
      <c r="C96" s="83">
        <f>MOTOR_LS_X_PWMFREQ_SCALEUP</f>
        <v>21547</v>
      </c>
    </row>
    <row r="97" spans="1:4" x14ac:dyDescent="0.25">
      <c r="A97" t="s">
        <v>118</v>
      </c>
      <c r="B97" t="s">
        <v>292</v>
      </c>
      <c r="C97" s="83">
        <f>MOTOR_SCALE_OF_LS_X_PWMFREQ</f>
        <v>13</v>
      </c>
    </row>
    <row r="100" spans="1:4" x14ac:dyDescent="0.25">
      <c r="A100" s="324" t="s">
        <v>445</v>
      </c>
      <c r="B100" s="324"/>
      <c r="C100" s="324"/>
    </row>
    <row r="101" spans="1:4" x14ac:dyDescent="0.25">
      <c r="A101" s="1" t="s">
        <v>118</v>
      </c>
      <c r="B101" s="82" t="s">
        <v>443</v>
      </c>
      <c r="C101" s="1" t="str">
        <f>USER_WATCH_DOG_TIMER</f>
        <v>DISABLED</v>
      </c>
    </row>
    <row r="103" spans="1:4" x14ac:dyDescent="0.25">
      <c r="A103" s="324" t="s">
        <v>159</v>
      </c>
      <c r="B103" s="324"/>
      <c r="C103" s="324"/>
      <c r="D103" s="1"/>
    </row>
    <row r="104" spans="1:4" x14ac:dyDescent="0.25">
      <c r="A104" s="1" t="s">
        <v>118</v>
      </c>
      <c r="B104" s="82" t="s">
        <v>440</v>
      </c>
      <c r="C104" s="1" t="str">
        <f>USER_OVERCURRENT_PROTECTION_ENABLE</f>
        <v>ENABLED</v>
      </c>
      <c r="D104" s="1"/>
    </row>
    <row r="105" spans="1:4" x14ac:dyDescent="0.25">
      <c r="A105" t="s">
        <v>118</v>
      </c>
      <c r="B105" t="s">
        <v>160</v>
      </c>
      <c r="C105" s="83">
        <f>OCP_LEVEL</f>
        <v>31136</v>
      </c>
    </row>
    <row r="106" spans="1:4" x14ac:dyDescent="0.25">
      <c r="A106" t="s">
        <v>118</v>
      </c>
      <c r="B106" t="s">
        <v>161</v>
      </c>
      <c r="C106" s="83">
        <f>OCP_LEVEL_TIME</f>
        <v>20</v>
      </c>
    </row>
    <row r="107" spans="1:4" x14ac:dyDescent="0.25">
      <c r="A107" t="s">
        <v>118</v>
      </c>
      <c r="B107" t="s">
        <v>50</v>
      </c>
      <c r="C107" s="83" t="str">
        <f>USER_MAP_CURRENT_TO_DCLINK</f>
        <v>DISABLED</v>
      </c>
    </row>
    <row r="109" spans="1:4" x14ac:dyDescent="0.25">
      <c r="A109" t="s">
        <v>118</v>
      </c>
      <c r="B109" t="s">
        <v>1784</v>
      </c>
      <c r="C109" s="83" t="str">
        <f>USER_OCP_LEVELS_PROTECTION_ENABLE</f>
        <v>DISABLED</v>
      </c>
    </row>
    <row r="111" spans="1:4" x14ac:dyDescent="0.25">
      <c r="A111" t="s">
        <v>1785</v>
      </c>
    </row>
    <row r="112" spans="1:4" x14ac:dyDescent="0.25">
      <c r="A112" t="s">
        <v>118</v>
      </c>
      <c r="B112" t="s">
        <v>1786</v>
      </c>
      <c r="C112" s="83">
        <f>OCP_LEVEL</f>
        <v>31136</v>
      </c>
    </row>
    <row r="113" spans="1:4" x14ac:dyDescent="0.25">
      <c r="A113" t="s">
        <v>118</v>
      </c>
      <c r="B113" t="s">
        <v>1787</v>
      </c>
      <c r="C113" s="83">
        <f>OCP_LEVEL_TIME</f>
        <v>20</v>
      </c>
    </row>
    <row r="114" spans="1:4" x14ac:dyDescent="0.25">
      <c r="A114" t="s">
        <v>118</v>
      </c>
      <c r="B114" t="s">
        <v>1788</v>
      </c>
      <c r="C114" s="83">
        <v>14827</v>
      </c>
    </row>
    <row r="115" spans="1:4" x14ac:dyDescent="0.25">
      <c r="A115" t="s">
        <v>118</v>
      </c>
      <c r="B115" t="s">
        <v>1789</v>
      </c>
      <c r="C115" s="83">
        <v>1000</v>
      </c>
    </row>
    <row r="116" spans="1:4" x14ac:dyDescent="0.25">
      <c r="A116" t="s">
        <v>118</v>
      </c>
      <c r="B116" t="s">
        <v>1790</v>
      </c>
      <c r="C116" s="83">
        <v>10379</v>
      </c>
    </row>
    <row r="117" spans="1:4" x14ac:dyDescent="0.25">
      <c r="A117" t="s">
        <v>118</v>
      </c>
      <c r="B117" t="s">
        <v>1791</v>
      </c>
      <c r="C117" s="83">
        <v>8000</v>
      </c>
    </row>
    <row r="118" spans="1:4" x14ac:dyDescent="0.25">
      <c r="A118" t="s">
        <v>1792</v>
      </c>
    </row>
    <row r="121" spans="1:4" x14ac:dyDescent="0.25">
      <c r="A121" s="324" t="s">
        <v>162</v>
      </c>
      <c r="B121" s="324"/>
      <c r="C121" s="324"/>
    </row>
    <row r="122" spans="1:4" x14ac:dyDescent="0.25">
      <c r="A122" t="s">
        <v>118</v>
      </c>
      <c r="B122" t="s">
        <v>163</v>
      </c>
      <c r="C122" s="83">
        <f>ROTOR_PRE_ALIGNMENT_CURRENT_REF</f>
        <v>786</v>
      </c>
    </row>
    <row r="123" spans="1:4" x14ac:dyDescent="0.25">
      <c r="A123" t="s">
        <v>118</v>
      </c>
      <c r="B123" t="s">
        <v>164</v>
      </c>
      <c r="C123" s="83">
        <f>ROTOR_PRE_ALIGNMENT_COUNT</f>
        <v>6000</v>
      </c>
      <c r="D123" s="1"/>
    </row>
    <row r="124" spans="1:4" x14ac:dyDescent="0.25">
      <c r="A124" t="s">
        <v>118</v>
      </c>
      <c r="B124" t="s">
        <v>1834</v>
      </c>
      <c r="C124" s="83">
        <f>ROTOR_ZERO_DEG_ID_SVPWM_REF</f>
        <v>1024</v>
      </c>
      <c r="D124" s="1"/>
    </row>
    <row r="125" spans="1:4" x14ac:dyDescent="0.25">
      <c r="A125" t="s">
        <v>118</v>
      </c>
      <c r="B125" t="s">
        <v>1835</v>
      </c>
      <c r="C125" s="83">
        <f>ROTOR_ZERO_DEG_ID_RAMPUP_STEP</f>
        <v>3</v>
      </c>
      <c r="D125" s="1"/>
    </row>
    <row r="126" spans="1:4" x14ac:dyDescent="0.25">
      <c r="A126" t="s">
        <v>118</v>
      </c>
      <c r="B126" t="s">
        <v>1832</v>
      </c>
      <c r="C126" s="83">
        <f>ROTOR_ZERO_DEG_ID_TIME_MS</f>
        <v>2000</v>
      </c>
      <c r="D126" s="1"/>
    </row>
    <row r="128" spans="1:4" x14ac:dyDescent="0.25">
      <c r="A128" s="324" t="s">
        <v>174</v>
      </c>
      <c r="B128" s="324"/>
      <c r="C128" s="324"/>
    </row>
    <row r="129" spans="1:4" x14ac:dyDescent="0.25">
      <c r="A129" t="s">
        <v>118</v>
      </c>
      <c r="B129" t="s">
        <v>171</v>
      </c>
      <c r="C129" s="83">
        <f>IPD_SENSE_PRESCALAR_VAL</f>
        <v>5</v>
      </c>
    </row>
    <row r="130" spans="1:4" x14ac:dyDescent="0.25">
      <c r="A130" t="s">
        <v>118</v>
      </c>
      <c r="B130" t="s">
        <v>172</v>
      </c>
      <c r="C130" s="83">
        <f>IPD_SENSE_CCU8_PULSE_WIDTH_COUNT</f>
        <v>195</v>
      </c>
      <c r="D130" s="1"/>
    </row>
    <row r="131" spans="1:4" x14ac:dyDescent="0.25">
      <c r="A131" t="s">
        <v>118</v>
      </c>
      <c r="B131" t="s">
        <v>173</v>
      </c>
      <c r="C131" s="83">
        <f>IPD_SENSE_CCU8_CURRENT_DECAY_COUNT</f>
        <v>195</v>
      </c>
    </row>
    <row r="133" spans="1:4" x14ac:dyDescent="0.25">
      <c r="A133" s="324" t="s">
        <v>175</v>
      </c>
      <c r="B133" s="324"/>
      <c r="C133" s="324"/>
    </row>
    <row r="134" spans="1:4" x14ac:dyDescent="0.25">
      <c r="A134" t="s">
        <v>118</v>
      </c>
      <c r="B134" t="s">
        <v>176</v>
      </c>
      <c r="C134" s="83">
        <f>VADC_DCLINK_T</f>
        <v>3000</v>
      </c>
      <c r="D134" s="1"/>
    </row>
    <row r="135" spans="1:4" x14ac:dyDescent="0.25">
      <c r="D135" s="1"/>
    </row>
    <row r="136" spans="1:4" x14ac:dyDescent="0.25">
      <c r="A136" s="324" t="s">
        <v>432</v>
      </c>
      <c r="B136" s="324"/>
      <c r="C136" s="324"/>
      <c r="D136" s="1"/>
    </row>
    <row r="137" spans="1:4" x14ac:dyDescent="0.25">
      <c r="A137" s="1" t="s">
        <v>118</v>
      </c>
      <c r="B137" s="82" t="s">
        <v>429</v>
      </c>
      <c r="C137" s="1" t="str">
        <f>USER_VDC_VOLT_COMPENSATION</f>
        <v>DISABLED</v>
      </c>
      <c r="D137" s="1"/>
    </row>
    <row r="138" spans="1:4" x14ac:dyDescent="0.25">
      <c r="A138" s="1"/>
      <c r="B138" s="82"/>
      <c r="C138" s="1"/>
      <c r="D138" s="1"/>
    </row>
    <row r="139" spans="1:4" x14ac:dyDescent="0.25">
      <c r="A139" s="324" t="s">
        <v>185</v>
      </c>
      <c r="B139" s="324"/>
      <c r="C139" s="324"/>
    </row>
    <row r="140" spans="1:4" x14ac:dyDescent="0.25">
      <c r="A140" s="1" t="s">
        <v>118</v>
      </c>
      <c r="B140" s="82" t="s">
        <v>437</v>
      </c>
      <c r="C140" s="1" t="str">
        <f>USER_VDC_UV_OV_PROTECTION_ENABLE</f>
        <v>ENABLED</v>
      </c>
    </row>
    <row r="141" spans="1:4" x14ac:dyDescent="0.25">
      <c r="A141" t="s">
        <v>118</v>
      </c>
      <c r="B141" t="s">
        <v>186</v>
      </c>
      <c r="C141" s="83">
        <f>VDC_OVER_VOLTAGE_LIMIT</f>
        <v>3600</v>
      </c>
    </row>
    <row r="142" spans="1:4" x14ac:dyDescent="0.25">
      <c r="A142" t="s">
        <v>118</v>
      </c>
      <c r="B142" t="s">
        <v>187</v>
      </c>
      <c r="C142" s="83">
        <f>VDC_UNDER_VOLTAGE_LIMIT</f>
        <v>2400</v>
      </c>
    </row>
    <row r="143" spans="1:4" x14ac:dyDescent="0.25">
      <c r="A143" t="s">
        <v>118</v>
      </c>
      <c r="B143" t="s">
        <v>57</v>
      </c>
      <c r="C143" s="83">
        <f>USER_VDC_LPF</f>
        <v>2</v>
      </c>
    </row>
    <row r="145" spans="1:4" x14ac:dyDescent="0.25">
      <c r="A145" s="324" t="s">
        <v>486</v>
      </c>
      <c r="B145" s="324"/>
      <c r="C145" s="324"/>
    </row>
    <row r="146" spans="1:4" x14ac:dyDescent="0.25">
      <c r="A146" t="s">
        <v>118</v>
      </c>
      <c r="B146" t="s">
        <v>439</v>
      </c>
      <c r="C146" s="83" t="str">
        <f>USER_DECELERATION_VDC_CLAMPING_ENABLE</f>
        <v>DISABLED</v>
      </c>
    </row>
    <row r="148" spans="1:4" x14ac:dyDescent="0.25">
      <c r="A148" s="324" t="s">
        <v>433</v>
      </c>
      <c r="B148" s="324"/>
      <c r="C148" s="324"/>
      <c r="D148" s="1"/>
    </row>
    <row r="149" spans="1:4" x14ac:dyDescent="0.25">
      <c r="A149" s="1" t="s">
        <v>118</v>
      </c>
      <c r="B149" s="82" t="s">
        <v>430</v>
      </c>
      <c r="C149" s="1" t="str">
        <f>USER_ADC_CALIBRATION</f>
        <v>ENABLED</v>
      </c>
      <c r="D149" s="1"/>
    </row>
    <row r="150" spans="1:4" x14ac:dyDescent="0.25">
      <c r="A150" s="1" t="s">
        <v>118</v>
      </c>
      <c r="B150" s="82" t="s">
        <v>431</v>
      </c>
      <c r="C150" s="1" t="str">
        <f>USER_MOTOR_PH_OFFSET_CALIBRATION</f>
        <v>ENABLED</v>
      </c>
      <c r="D150" s="1"/>
    </row>
    <row r="152" spans="1:4" x14ac:dyDescent="0.25">
      <c r="A152" s="324" t="s">
        <v>436</v>
      </c>
      <c r="B152" s="324"/>
      <c r="C152" s="324"/>
    </row>
    <row r="153" spans="1:4" x14ac:dyDescent="0.25">
      <c r="A153" s="1" t="s">
        <v>118</v>
      </c>
      <c r="B153" s="82" t="s">
        <v>435</v>
      </c>
      <c r="C153" s="1" t="str">
        <f>USER_DQ_DECOUPLING</f>
        <v>DISABLED</v>
      </c>
    </row>
    <row r="154" spans="1:4" x14ac:dyDescent="0.25">
      <c r="A154" s="1"/>
    </row>
    <row r="155" spans="1:4" x14ac:dyDescent="0.25">
      <c r="A155" s="1"/>
    </row>
    <row r="156" spans="1:4" x14ac:dyDescent="0.25">
      <c r="A156" s="324" t="s">
        <v>457</v>
      </c>
      <c r="B156" s="324"/>
      <c r="C156" s="324"/>
    </row>
    <row r="157" spans="1:4" x14ac:dyDescent="0.25">
      <c r="A157" t="s">
        <v>118</v>
      </c>
      <c r="B157" s="82" t="s">
        <v>465</v>
      </c>
      <c r="C157" s="1" t="str">
        <f>USER_BOARD_OVERTEMP_PROTECTION_ENABLE</f>
        <v>DISABLED</v>
      </c>
    </row>
    <row r="158" spans="1:4" x14ac:dyDescent="0.25">
      <c r="A158" t="s">
        <v>118</v>
      </c>
      <c r="B158" t="s">
        <v>127</v>
      </c>
      <c r="C158" s="83">
        <f>USER_MAX_BOARD_TEMP_START_C</f>
        <v>60</v>
      </c>
    </row>
    <row r="159" spans="1:4" x14ac:dyDescent="0.25">
      <c r="A159" t="s">
        <v>118</v>
      </c>
      <c r="B159" t="s">
        <v>128</v>
      </c>
      <c r="C159" s="83">
        <f>USER_ABS_MAX_BOARD_TEMP_C</f>
        <v>100</v>
      </c>
    </row>
    <row r="161" spans="1:4" x14ac:dyDescent="0.25">
      <c r="A161" s="324" t="s">
        <v>190</v>
      </c>
      <c r="B161" s="324"/>
      <c r="C161" s="324"/>
      <c r="D161" s="1"/>
    </row>
    <row r="162" spans="1:4" x14ac:dyDescent="0.25">
      <c r="A162" s="1" t="s">
        <v>118</v>
      </c>
      <c r="B162" s="82" t="s">
        <v>289</v>
      </c>
      <c r="C162" s="1" t="str">
        <f>USER_MAX_CURRENT_LIMIT_ENABLE</f>
        <v>DISABLED</v>
      </c>
      <c r="D162" s="1"/>
    </row>
    <row r="163" spans="1:4" x14ac:dyDescent="0.25">
      <c r="A163" t="s">
        <v>118</v>
      </c>
      <c r="B163" t="s">
        <v>182</v>
      </c>
      <c r="C163" s="83">
        <f>LIMIT_MAX_IS</f>
        <v>32767</v>
      </c>
    </row>
    <row r="165" spans="1:4" x14ac:dyDescent="0.25">
      <c r="A165" s="324" t="s">
        <v>191</v>
      </c>
      <c r="B165" s="324"/>
      <c r="C165" s="324"/>
      <c r="D165" s="1"/>
    </row>
    <row r="166" spans="1:4" x14ac:dyDescent="0.25">
      <c r="A166" s="1" t="s">
        <v>118</v>
      </c>
      <c r="B166" s="82" t="s">
        <v>290</v>
      </c>
      <c r="C166" s="1" t="str">
        <f>USER_TORQUE_LIMIT_ENABLE</f>
        <v>DISABLED</v>
      </c>
      <c r="D166" s="1"/>
    </row>
    <row r="167" spans="1:4" x14ac:dyDescent="0.25">
      <c r="A167" t="s">
        <v>118</v>
      </c>
      <c r="B167" t="s">
        <v>181</v>
      </c>
      <c r="C167" s="83">
        <f>LIMIT_MAX_IQ</f>
        <v>786</v>
      </c>
    </row>
    <row r="168" spans="1:4" x14ac:dyDescent="0.25">
      <c r="A168" t="s">
        <v>118</v>
      </c>
      <c r="B168" t="s">
        <v>183</v>
      </c>
      <c r="C168" s="83">
        <f>IQ_LIMIT_BLANKING_TIME</f>
        <v>30000</v>
      </c>
    </row>
    <row r="169" spans="1:4" x14ac:dyDescent="0.25">
      <c r="D169" s="1"/>
    </row>
    <row r="170" spans="1:4" x14ac:dyDescent="0.25">
      <c r="A170" s="324" t="s">
        <v>197</v>
      </c>
      <c r="B170" s="324"/>
      <c r="C170" s="324"/>
    </row>
    <row r="171" spans="1:4" x14ac:dyDescent="0.25">
      <c r="A171" s="1" t="s">
        <v>118</v>
      </c>
      <c r="B171" s="82" t="s">
        <v>466</v>
      </c>
      <c r="C171" s="1" t="str">
        <f>USER_FW_ENABLE</f>
        <v>DISABLED</v>
      </c>
    </row>
    <row r="172" spans="1:4" x14ac:dyDescent="0.25">
      <c r="A172" t="s">
        <v>118</v>
      </c>
      <c r="B172" t="s">
        <v>198</v>
      </c>
      <c r="C172" s="83">
        <f>FW_MAX_VREF</f>
        <v>28377</v>
      </c>
    </row>
    <row r="173" spans="1:4" x14ac:dyDescent="0.25">
      <c r="A173" t="s">
        <v>118</v>
      </c>
      <c r="B173" t="s">
        <v>199</v>
      </c>
      <c r="C173" s="83">
        <f>FW_ID_REF_NEG_MAX</f>
        <v>-3932</v>
      </c>
      <c r="D173" s="1"/>
    </row>
    <row r="174" spans="1:4" x14ac:dyDescent="0.25">
      <c r="A174" t="s">
        <v>118</v>
      </c>
      <c r="B174" t="s">
        <v>195</v>
      </c>
      <c r="C174" s="83">
        <f>FW_ID_REF_RATIO_Q15</f>
        <v>-29342</v>
      </c>
    </row>
    <row r="175" spans="1:4" x14ac:dyDescent="0.25">
      <c r="A175" t="s">
        <v>118</v>
      </c>
      <c r="B175" t="s">
        <v>196</v>
      </c>
      <c r="C175" s="83">
        <f>FW_DISABLE_IQ_LIMIT</f>
        <v>31456</v>
      </c>
    </row>
    <row r="176" spans="1:4" x14ac:dyDescent="0.25">
      <c r="A176" t="s">
        <v>118</v>
      </c>
      <c r="B176" t="s">
        <v>194</v>
      </c>
      <c r="C176" s="83">
        <f>USER_FW_LPF</f>
        <v>5</v>
      </c>
    </row>
    <row r="178" spans="1:4" x14ac:dyDescent="0.25">
      <c r="A178" s="324" t="s">
        <v>201</v>
      </c>
      <c r="B178" s="324"/>
      <c r="C178" s="324"/>
      <c r="D178" s="1"/>
    </row>
    <row r="179" spans="1:4" x14ac:dyDescent="0.25">
      <c r="A179" t="s">
        <v>118</v>
      </c>
      <c r="B179" t="s">
        <v>202</v>
      </c>
      <c r="C179" s="83">
        <f>ELECTRICAL_SPEED_LOW_LIMIT_TS</f>
        <v>152</v>
      </c>
    </row>
    <row r="180" spans="1:4" x14ac:dyDescent="0.25">
      <c r="A180" t="s">
        <v>118</v>
      </c>
      <c r="B180" t="s">
        <v>203</v>
      </c>
      <c r="C180" s="83">
        <f>ELECTRICAL_SPEED_HIGH_LIMIT_TS</f>
        <v>32767</v>
      </c>
    </row>
    <row r="182" spans="1:4" x14ac:dyDescent="0.25">
      <c r="A182" s="324" t="s">
        <v>491</v>
      </c>
      <c r="B182" s="324"/>
      <c r="C182" s="324"/>
    </row>
    <row r="183" spans="1:4" x14ac:dyDescent="0.25">
      <c r="A183" t="s">
        <v>118</v>
      </c>
      <c r="B183" t="s">
        <v>489</v>
      </c>
      <c r="C183" s="83">
        <f>SPEED_TO_ANGLE_CONV_FACTOR</f>
        <v>22545</v>
      </c>
    </row>
    <row r="184" spans="1:4" x14ac:dyDescent="0.25">
      <c r="A184" t="s">
        <v>118</v>
      </c>
      <c r="B184" t="s">
        <v>490</v>
      </c>
      <c r="C184" s="83">
        <f>SPEED_TO_ANGLE_CONV_FACTOR_SCALE</f>
        <v>4</v>
      </c>
    </row>
    <row r="186" spans="1:4" x14ac:dyDescent="0.25">
      <c r="A186" s="324" t="s">
        <v>1812</v>
      </c>
      <c r="B186" s="324"/>
      <c r="C186" s="324"/>
    </row>
    <row r="187" spans="1:4" x14ac:dyDescent="0.25">
      <c r="A187" t="s">
        <v>1811</v>
      </c>
    </row>
    <row r="188" spans="1:4" x14ac:dyDescent="0.25">
      <c r="A188" t="s">
        <v>118</v>
      </c>
      <c r="B188" t="s">
        <v>1800</v>
      </c>
      <c r="C188" s="83">
        <f>HALL_CLK_PRE_SCALE</f>
        <v>5</v>
      </c>
    </row>
    <row r="189" spans="1:4" x14ac:dyDescent="0.25">
      <c r="A189" t="s">
        <v>118</v>
      </c>
      <c r="B189" t="s">
        <v>1799</v>
      </c>
      <c r="C189" s="83">
        <f>HALL_RAD_PER_PWM_RES_INC_FACTOR</f>
        <v>457467284</v>
      </c>
    </row>
    <row r="190" spans="1:4" x14ac:dyDescent="0.25">
      <c r="A190" t="s">
        <v>118</v>
      </c>
      <c r="B190" t="s">
        <v>1803</v>
      </c>
      <c r="C190" s="83">
        <f>USER_ALIGNMENT_VREF_SLEWRATE</f>
        <v>25</v>
      </c>
    </row>
    <row r="191" spans="1:4" x14ac:dyDescent="0.25">
      <c r="A191" t="s">
        <v>118</v>
      </c>
      <c r="B191" t="s">
        <v>1804</v>
      </c>
      <c r="C191" s="83">
        <f>USER_HALL_EDGE_COUNT</f>
        <v>36</v>
      </c>
    </row>
    <row r="192" spans="1:4" x14ac:dyDescent="0.25">
      <c r="A192" t="s">
        <v>118</v>
      </c>
      <c r="B192" t="s">
        <v>1806</v>
      </c>
      <c r="C192" s="83">
        <f>USER_STALL_COUNT</f>
        <v>800000</v>
      </c>
    </row>
    <row r="193" spans="1:4" x14ac:dyDescent="0.25">
      <c r="A193" t="s">
        <v>118</v>
      </c>
      <c r="B193" t="s">
        <v>1807</v>
      </c>
      <c r="C193" s="83">
        <f>KpHallPLL</f>
        <v>983</v>
      </c>
    </row>
    <row r="194" spans="1:4" x14ac:dyDescent="0.25">
      <c r="A194" s="297" t="s">
        <v>118</v>
      </c>
      <c r="B194" s="297" t="s">
        <v>1915</v>
      </c>
      <c r="C194" s="298">
        <f>KpHallPLL_SCALE</f>
        <v>15</v>
      </c>
    </row>
    <row r="195" spans="1:4" x14ac:dyDescent="0.25">
      <c r="A195" t="s">
        <v>118</v>
      </c>
      <c r="B195" t="s">
        <v>1827</v>
      </c>
      <c r="C195" s="83">
        <f>HALL_SEC__PWM_CYCLE_CONV</f>
        <v>150</v>
      </c>
    </row>
    <row r="196" spans="1:4" x14ac:dyDescent="0.25">
      <c r="A196" t="s">
        <v>1792</v>
      </c>
    </row>
    <row r="198" spans="1:4" x14ac:dyDescent="0.25">
      <c r="A198" s="324" t="s">
        <v>204</v>
      </c>
      <c r="B198" s="324"/>
      <c r="C198" s="324"/>
    </row>
    <row r="199" spans="1:4" x14ac:dyDescent="0.25">
      <c r="A199" t="s">
        <v>118</v>
      </c>
      <c r="B199" t="s">
        <v>205</v>
      </c>
      <c r="C199" s="83">
        <f>2*USER_PCLK_FREQ_MHz</f>
        <v>192</v>
      </c>
      <c r="D199" s="1"/>
    </row>
    <row r="200" spans="1:4" x14ac:dyDescent="0.25">
      <c r="D200" s="1"/>
    </row>
    <row r="201" spans="1:4" x14ac:dyDescent="0.25">
      <c r="A201" s="324" t="s">
        <v>206</v>
      </c>
      <c r="B201" s="324"/>
      <c r="C201" s="324"/>
    </row>
    <row r="202" spans="1:4" x14ac:dyDescent="0.25">
      <c r="A202" t="s">
        <v>118</v>
      </c>
      <c r="B202" t="s">
        <v>66</v>
      </c>
      <c r="C202" s="83">
        <f>VQ_REF_HIGH_LIMIT</f>
        <v>32767</v>
      </c>
    </row>
    <row r="203" spans="1:4" x14ac:dyDescent="0.25">
      <c r="A203" t="s">
        <v>118</v>
      </c>
      <c r="B203" t="s">
        <v>67</v>
      </c>
      <c r="C203" s="83">
        <f>VQ_REF_LOW_LIMIT</f>
        <v>0</v>
      </c>
    </row>
    <row r="204" spans="1:4" x14ac:dyDescent="0.25">
      <c r="A204" t="s">
        <v>118</v>
      </c>
      <c r="B204" t="s">
        <v>61</v>
      </c>
      <c r="C204" s="83">
        <f>VQ_RAMP_UP_STEP</f>
        <v>31</v>
      </c>
      <c r="D204" s="1"/>
    </row>
    <row r="205" spans="1:4" x14ac:dyDescent="0.25">
      <c r="A205" t="s">
        <v>118</v>
      </c>
      <c r="B205" t="s">
        <v>62</v>
      </c>
      <c r="C205" s="83">
        <f>VQ_RAMP_DOWN_STEP</f>
        <v>1</v>
      </c>
    </row>
    <row r="206" spans="1:4" x14ac:dyDescent="0.25">
      <c r="A206" t="s">
        <v>118</v>
      </c>
      <c r="B206" t="s">
        <v>65</v>
      </c>
      <c r="C206" s="83">
        <f>VQ_RAMP_STEP_TIME_FCL_COUNT</f>
        <v>6</v>
      </c>
    </row>
    <row r="207" spans="1:4" x14ac:dyDescent="0.25">
      <c r="C207"/>
      <c r="D207" s="83"/>
    </row>
    <row r="208" spans="1:4" x14ac:dyDescent="0.25">
      <c r="A208" s="324" t="s">
        <v>1822</v>
      </c>
      <c r="B208" s="324"/>
      <c r="C208" s="324"/>
      <c r="D208" s="83"/>
    </row>
    <row r="209" spans="1:4" x14ac:dyDescent="0.25">
      <c r="A209" t="s">
        <v>118</v>
      </c>
      <c r="B209" t="s">
        <v>1815</v>
      </c>
      <c r="C209" s="1">
        <f>IQ_REF_HIGH_LIMIT</f>
        <v>15728</v>
      </c>
      <c r="D209" s="83"/>
    </row>
    <row r="210" spans="1:4" x14ac:dyDescent="0.25">
      <c r="A210" t="s">
        <v>118</v>
      </c>
      <c r="B210" t="s">
        <v>1816</v>
      </c>
      <c r="C210" s="1">
        <f>IQ_REF_LOW_LIMIT</f>
        <v>0</v>
      </c>
      <c r="D210" s="83"/>
    </row>
    <row r="211" spans="1:4" x14ac:dyDescent="0.25">
      <c r="A211" t="s">
        <v>118</v>
      </c>
      <c r="B211" t="s">
        <v>1819</v>
      </c>
      <c r="C211" s="1">
        <f>IQ_RAMP_UP_STEP</f>
        <v>24</v>
      </c>
      <c r="D211" s="83"/>
    </row>
    <row r="212" spans="1:4" x14ac:dyDescent="0.25">
      <c r="A212" t="s">
        <v>118</v>
      </c>
      <c r="B212" t="s">
        <v>1820</v>
      </c>
      <c r="C212" s="1">
        <f>IQ_RAMP_DOWN_STEP</f>
        <v>6</v>
      </c>
      <c r="D212" s="83"/>
    </row>
    <row r="213" spans="1:4" x14ac:dyDescent="0.25">
      <c r="A213" t="s">
        <v>118</v>
      </c>
      <c r="B213" t="s">
        <v>1821</v>
      </c>
      <c r="C213" s="1">
        <f>IQ_RAMP_STEP_TIME_FCL_COUNT</f>
        <v>200</v>
      </c>
      <c r="D213" s="83"/>
    </row>
    <row r="214" spans="1:4" x14ac:dyDescent="0.25">
      <c r="C214" s="1"/>
      <c r="D214" s="83"/>
    </row>
    <row r="215" spans="1:4" x14ac:dyDescent="0.25">
      <c r="C215"/>
      <c r="D215" s="83"/>
    </row>
    <row r="216" spans="1:4" x14ac:dyDescent="0.25">
      <c r="A216" s="324" t="s">
        <v>207</v>
      </c>
      <c r="B216" s="324"/>
      <c r="C216" s="324"/>
    </row>
    <row r="217" spans="1:4" x14ac:dyDescent="0.25">
      <c r="A217" t="s">
        <v>118</v>
      </c>
      <c r="B217" t="s">
        <v>208</v>
      </c>
      <c r="C217" s="83">
        <f>SPEED_REF_HIGH_LIMIT</f>
        <v>32767</v>
      </c>
    </row>
    <row r="218" spans="1:4" x14ac:dyDescent="0.25">
      <c r="A218" t="s">
        <v>118</v>
      </c>
      <c r="B218" t="s">
        <v>209</v>
      </c>
      <c r="C218" s="83">
        <f>SPEED_REF_LOW_LIMIT</f>
        <v>762</v>
      </c>
    </row>
    <row r="219" spans="1:4" x14ac:dyDescent="0.25">
      <c r="A219" t="s">
        <v>118</v>
      </c>
      <c r="B219" t="s">
        <v>73</v>
      </c>
      <c r="C219" s="83">
        <f>SPEED_RAMP_UP_STEP</f>
        <v>1</v>
      </c>
    </row>
    <row r="220" spans="1:4" x14ac:dyDescent="0.25">
      <c r="A220" t="s">
        <v>118</v>
      </c>
      <c r="B220" t="s">
        <v>74</v>
      </c>
      <c r="C220" s="83">
        <f>SPEED_RAMP_DOWN_STEP</f>
        <v>601</v>
      </c>
    </row>
    <row r="221" spans="1:4" x14ac:dyDescent="0.25">
      <c r="A221" t="s">
        <v>118</v>
      </c>
      <c r="B221" s="81" t="s">
        <v>75</v>
      </c>
      <c r="C221" s="83">
        <f>SPEED_RAMP_STEP_TIME_FCL_COUNT</f>
        <v>263</v>
      </c>
    </row>
    <row r="222" spans="1:4" x14ac:dyDescent="0.25">
      <c r="D222" s="1"/>
    </row>
    <row r="223" spans="1:4" x14ac:dyDescent="0.25">
      <c r="A223" s="324" t="s">
        <v>210</v>
      </c>
      <c r="B223" s="324"/>
      <c r="C223" s="324"/>
    </row>
    <row r="224" spans="1:4" x14ac:dyDescent="0.25">
      <c r="A224" t="s">
        <v>118</v>
      </c>
      <c r="B224" t="s">
        <v>215</v>
      </c>
      <c r="C224" s="83">
        <f>PI_TORQUE_SCALE_KPKI</f>
        <v>13</v>
      </c>
    </row>
    <row r="225" spans="1:4" x14ac:dyDescent="0.25">
      <c r="A225" t="s">
        <v>118</v>
      </c>
      <c r="B225" t="s">
        <v>216</v>
      </c>
      <c r="C225" s="83">
        <f>PI_TORQUE_KP</f>
        <v>3385</v>
      </c>
    </row>
    <row r="226" spans="1:4" x14ac:dyDescent="0.25">
      <c r="A226" t="s">
        <v>118</v>
      </c>
      <c r="B226" t="s">
        <v>217</v>
      </c>
      <c r="C226" s="83">
        <f>PI_TORQUE_KI</f>
        <v>117</v>
      </c>
    </row>
    <row r="227" spans="1:4" x14ac:dyDescent="0.25">
      <c r="A227" t="s">
        <v>118</v>
      </c>
      <c r="B227" t="s">
        <v>211</v>
      </c>
      <c r="C227" s="83">
        <f>PI_TORQUE_UK_LIMIT_MIN</f>
        <v>-32768</v>
      </c>
    </row>
    <row r="228" spans="1:4" x14ac:dyDescent="0.25">
      <c r="A228" t="s">
        <v>118</v>
      </c>
      <c r="B228" t="s">
        <v>212</v>
      </c>
      <c r="C228" s="83">
        <f>PI_TORQUE_UK_LIMIT_MAX</f>
        <v>32767</v>
      </c>
    </row>
    <row r="229" spans="1:4" x14ac:dyDescent="0.25">
      <c r="A229" t="s">
        <v>118</v>
      </c>
      <c r="B229" t="s">
        <v>213</v>
      </c>
      <c r="C229" s="83">
        <f>PI_TORQUE_IK_LIMIT_MIN</f>
        <v>-268435456</v>
      </c>
      <c r="D229" s="1"/>
    </row>
    <row r="230" spans="1:4" x14ac:dyDescent="0.25">
      <c r="A230" t="s">
        <v>118</v>
      </c>
      <c r="B230" t="s">
        <v>214</v>
      </c>
      <c r="C230" s="83">
        <f>PI_TORQUE_IK_LIMIT_MAX</f>
        <v>268427264</v>
      </c>
    </row>
    <row r="231" spans="1:4" x14ac:dyDescent="0.25">
      <c r="A231" t="s">
        <v>118</v>
      </c>
      <c r="B231" t="s">
        <v>501</v>
      </c>
      <c r="C231" s="83" t="str">
        <f>USER_PI_TORQUE_ENABLE_ANTIWINDUP</f>
        <v>ENABLED</v>
      </c>
    </row>
    <row r="233" spans="1:4" x14ac:dyDescent="0.25">
      <c r="A233" s="324" t="s">
        <v>239</v>
      </c>
      <c r="B233" s="324"/>
      <c r="C233" s="324"/>
    </row>
    <row r="234" spans="1:4" x14ac:dyDescent="0.25">
      <c r="A234" t="s">
        <v>118</v>
      </c>
      <c r="B234" t="s">
        <v>218</v>
      </c>
      <c r="C234" s="83">
        <f>PI_FLUX_SCALE_KPKI</f>
        <v>13</v>
      </c>
    </row>
    <row r="235" spans="1:4" x14ac:dyDescent="0.25">
      <c r="A235" t="s">
        <v>118</v>
      </c>
      <c r="B235" t="s">
        <v>219</v>
      </c>
      <c r="C235" s="83">
        <f>PI_FLUX_KP</f>
        <v>3385</v>
      </c>
    </row>
    <row r="236" spans="1:4" x14ac:dyDescent="0.25">
      <c r="A236" t="s">
        <v>118</v>
      </c>
      <c r="B236" t="s">
        <v>220</v>
      </c>
      <c r="C236" s="83">
        <f>PI_FLUX_KI</f>
        <v>117</v>
      </c>
    </row>
    <row r="237" spans="1:4" x14ac:dyDescent="0.25">
      <c r="A237" t="s">
        <v>118</v>
      </c>
      <c r="B237" t="s">
        <v>221</v>
      </c>
      <c r="C237" s="83">
        <f>PI_FLUX_UK_LIMIT_MIN</f>
        <v>-32768</v>
      </c>
    </row>
    <row r="238" spans="1:4" x14ac:dyDescent="0.25">
      <c r="A238" t="s">
        <v>118</v>
      </c>
      <c r="B238" t="s">
        <v>222</v>
      </c>
      <c r="C238" s="83">
        <f>PI_FLUX_UK_LIMIT_MAX</f>
        <v>32767</v>
      </c>
    </row>
    <row r="239" spans="1:4" x14ac:dyDescent="0.25">
      <c r="A239" t="s">
        <v>118</v>
      </c>
      <c r="B239" t="s">
        <v>223</v>
      </c>
      <c r="C239" s="83">
        <f>PI_FLUX_IK_LIMIT_MIN</f>
        <v>-268435456</v>
      </c>
      <c r="D239" s="1"/>
    </row>
    <row r="240" spans="1:4" x14ac:dyDescent="0.25">
      <c r="A240" t="s">
        <v>118</v>
      </c>
      <c r="B240" t="s">
        <v>224</v>
      </c>
      <c r="C240" s="83">
        <f>PI_FLUX_IK_LIMIT_MAX</f>
        <v>268427264</v>
      </c>
    </row>
    <row r="241" spans="1:4" x14ac:dyDescent="0.25">
      <c r="A241" t="s">
        <v>118</v>
      </c>
      <c r="B241" t="s">
        <v>502</v>
      </c>
      <c r="C241" s="83" t="str">
        <f>USER_PI_FLUX_ENABLE_ANTIWINDUP</f>
        <v>ENABLED</v>
      </c>
    </row>
    <row r="244" spans="1:4" x14ac:dyDescent="0.25">
      <c r="A244" s="324" t="s">
        <v>240</v>
      </c>
      <c r="B244" s="324"/>
      <c r="C244" s="324"/>
    </row>
    <row r="245" spans="1:4" x14ac:dyDescent="0.25">
      <c r="A245" t="s">
        <v>118</v>
      </c>
      <c r="B245" t="s">
        <v>225</v>
      </c>
      <c r="C245" s="83">
        <f>PI_SPEED_KP</f>
        <v>6881</v>
      </c>
    </row>
    <row r="246" spans="1:4" x14ac:dyDescent="0.25">
      <c r="A246" t="s">
        <v>118</v>
      </c>
      <c r="B246" t="s">
        <v>226</v>
      </c>
      <c r="C246" s="83">
        <f>PI_SPEED_KI</f>
        <v>1</v>
      </c>
    </row>
    <row r="247" spans="1:4" x14ac:dyDescent="0.25">
      <c r="A247" t="s">
        <v>118</v>
      </c>
      <c r="B247" t="s">
        <v>227</v>
      </c>
      <c r="C247" s="83">
        <f>PI_SPEED_SCALE_KPKI</f>
        <v>7</v>
      </c>
    </row>
    <row r="248" spans="1:4" x14ac:dyDescent="0.25">
      <c r="A248" t="s">
        <v>118</v>
      </c>
      <c r="B248" t="s">
        <v>228</v>
      </c>
      <c r="C248" s="83">
        <f>PI_SPEED_UK_LIMIT_MAX</f>
        <v>32767</v>
      </c>
    </row>
    <row r="249" spans="1:4" x14ac:dyDescent="0.25">
      <c r="A249" t="s">
        <v>118</v>
      </c>
      <c r="B249" t="s">
        <v>229</v>
      </c>
      <c r="C249" s="83">
        <f>PI_SPEED_UK_LIMIT_MIN</f>
        <v>0</v>
      </c>
      <c r="D249" s="1"/>
    </row>
    <row r="250" spans="1:4" x14ac:dyDescent="0.25">
      <c r="A250" t="s">
        <v>118</v>
      </c>
      <c r="B250" t="s">
        <v>230</v>
      </c>
      <c r="C250" s="83">
        <f>PI_SPEED_IK_LIMIT_MAX</f>
        <v>4194176</v>
      </c>
    </row>
    <row r="251" spans="1:4" x14ac:dyDescent="0.25">
      <c r="A251" t="s">
        <v>118</v>
      </c>
      <c r="B251" t="s">
        <v>231</v>
      </c>
      <c r="C251" s="83">
        <f>PI_SPEED_IK_LIMIT_MIN</f>
        <v>-4194304</v>
      </c>
    </row>
    <row r="252" spans="1:4" x14ac:dyDescent="0.25">
      <c r="A252" t="s">
        <v>118</v>
      </c>
      <c r="B252" t="s">
        <v>503</v>
      </c>
      <c r="C252" s="83" t="str">
        <f>USER_PI_SPEED_ENABLE_ANTIWINDUP</f>
        <v>ENABLED</v>
      </c>
    </row>
    <row r="254" spans="1:4" x14ac:dyDescent="0.25">
      <c r="A254" s="324" t="s">
        <v>241</v>
      </c>
      <c r="B254" s="324"/>
      <c r="C254" s="324"/>
    </row>
    <row r="255" spans="1:4" x14ac:dyDescent="0.25">
      <c r="A255" t="s">
        <v>118</v>
      </c>
      <c r="B255" t="s">
        <v>232</v>
      </c>
      <c r="C255" s="83">
        <f>PI_FW_KP</f>
        <v>153</v>
      </c>
    </row>
    <row r="256" spans="1:4" x14ac:dyDescent="0.25">
      <c r="A256" t="s">
        <v>118</v>
      </c>
      <c r="B256" t="s">
        <v>233</v>
      </c>
      <c r="C256" s="83">
        <f>PI_FW_KI</f>
        <v>21</v>
      </c>
    </row>
    <row r="257" spans="1:4" x14ac:dyDescent="0.25">
      <c r="A257" t="s">
        <v>118</v>
      </c>
      <c r="B257" t="s">
        <v>234</v>
      </c>
      <c r="C257" s="83">
        <f>PI_FW_SCALE_KPKI</f>
        <v>13</v>
      </c>
    </row>
    <row r="258" spans="1:4" x14ac:dyDescent="0.25">
      <c r="A258" t="s">
        <v>118</v>
      </c>
      <c r="B258" t="s">
        <v>235</v>
      </c>
      <c r="C258" s="83">
        <f>PI_FW_UK_LIMIT_MAX</f>
        <v>1</v>
      </c>
    </row>
    <row r="259" spans="1:4" x14ac:dyDescent="0.25">
      <c r="A259" t="s">
        <v>118</v>
      </c>
      <c r="B259" t="s">
        <v>236</v>
      </c>
      <c r="C259" s="83">
        <f>PI_FW_UK_LIMIT_MIN</f>
        <v>-7864</v>
      </c>
      <c r="D259" s="1"/>
    </row>
    <row r="260" spans="1:4" x14ac:dyDescent="0.25">
      <c r="A260" t="s">
        <v>118</v>
      </c>
      <c r="B260" t="s">
        <v>237</v>
      </c>
      <c r="C260" s="83">
        <f>PI_FW_IK_LIMIT_MAX</f>
        <v>8192</v>
      </c>
    </row>
    <row r="261" spans="1:4" x14ac:dyDescent="0.25">
      <c r="A261" t="s">
        <v>118</v>
      </c>
      <c r="B261" t="s">
        <v>238</v>
      </c>
      <c r="C261" s="83">
        <f>PI_FW_IK_LIMIT_MIN</f>
        <v>-64421888</v>
      </c>
    </row>
    <row r="262" spans="1:4" x14ac:dyDescent="0.25">
      <c r="A262" t="s">
        <v>118</v>
      </c>
      <c r="B262" t="s">
        <v>504</v>
      </c>
      <c r="C262" s="83" t="str">
        <f>USER_PI_FW_ENABLE_ANTIWINDUP</f>
        <v>ENABLED</v>
      </c>
    </row>
    <row r="264" spans="1:4" x14ac:dyDescent="0.25">
      <c r="A264" s="324" t="s">
        <v>242</v>
      </c>
      <c r="B264" s="324"/>
      <c r="C264" s="324"/>
    </row>
    <row r="265" spans="1:4" x14ac:dyDescent="0.25">
      <c r="A265" t="s">
        <v>118</v>
      </c>
      <c r="B265" t="s">
        <v>243</v>
      </c>
      <c r="C265" s="83">
        <f>_xlfn.BITOR(_xlfn.BITOR(_xlfn.BITLSHIFT(HIGH_ON,(4*CCU8_SLICE_PHASE_W_NUM)), _xlfn.BITLSHIFT(LOW_ON,(4*CCU8_SLICE_PHASE_V_NUM))),_xlfn.BITLSHIFT(BOTH_OFF,(4*CCU8_SLICE_PHASE_U_NUM)))</f>
        <v>513</v>
      </c>
    </row>
    <row r="266" spans="1:4" x14ac:dyDescent="0.25">
      <c r="A266" t="s">
        <v>118</v>
      </c>
      <c r="B266" t="s">
        <v>244</v>
      </c>
      <c r="C266" s="83">
        <f>_xlfn.BITOR(_xlfn.BITOR(_xlfn.BITLSHIFT(BOTH_OFF,(4*CCU8_SLICE_PHASE_W_NUM)), _xlfn.BITLSHIFT(LOW_ON,(4*CCU8_SLICE_PHASE_V_NUM))),_xlfn.BITLSHIFT(HIGH_ON,(4*CCU8_SLICE_PHASE_U_NUM)))</f>
        <v>528</v>
      </c>
    </row>
    <row r="267" spans="1:4" x14ac:dyDescent="0.25">
      <c r="A267" t="s">
        <v>118</v>
      </c>
      <c r="B267" t="s">
        <v>245</v>
      </c>
      <c r="C267" s="83">
        <f>_xlfn.BITOR(_xlfn.BITOR(_xlfn.BITLSHIFT(LOW_ON,(4*CCU8_SLICE_PHASE_W_NUM)), _xlfn.BITLSHIFT(BOTH_OFF,(4*CCU8_SLICE_PHASE_V_NUM))),_xlfn.BITLSHIFT(HIGH_ON,(4*CCU8_SLICE_PHASE_U_NUM)))</f>
        <v>18</v>
      </c>
    </row>
    <row r="268" spans="1:4" x14ac:dyDescent="0.25">
      <c r="A268" t="s">
        <v>118</v>
      </c>
      <c r="B268" t="s">
        <v>246</v>
      </c>
      <c r="C268" s="83">
        <f>_xlfn.BITOR(_xlfn.BITOR(_xlfn.BITLSHIFT(LOW_ON,(4*CCU8_SLICE_PHASE_W_NUM)), _xlfn.BITLSHIFT(HIGH_ON,(4*CCU8_SLICE_PHASE_V_NUM))),_xlfn.BITLSHIFT(BOTH_OFF,(4*CCU8_SLICE_PHASE_U_NUM)))</f>
        <v>258</v>
      </c>
      <c r="D268" s="1"/>
    </row>
    <row r="269" spans="1:4" x14ac:dyDescent="0.25">
      <c r="A269" t="s">
        <v>118</v>
      </c>
      <c r="B269" t="s">
        <v>247</v>
      </c>
      <c r="C269" s="83">
        <f>_xlfn.BITOR(_xlfn.BITOR(_xlfn.BITLSHIFT(BOTH_OFF,(4*CCU8_SLICE_PHASE_W_NUM)), _xlfn.BITLSHIFT(HIGH_ON,(4*CCU8_SLICE_PHASE_V_NUM))),_xlfn.BITLSHIFT(LOW_ON,(4*CCU8_SLICE_PHASE_U_NUM)))</f>
        <v>288</v>
      </c>
    </row>
    <row r="270" spans="1:4" x14ac:dyDescent="0.25">
      <c r="A270" t="s">
        <v>118</v>
      </c>
      <c r="B270" t="s">
        <v>248</v>
      </c>
      <c r="C270" s="83">
        <f>_xlfn.BITOR(_xlfn.BITOR(_xlfn.BITLSHIFT(HIGH_ON,(4*CCU8_SLICE_PHASE_W_NUM)), _xlfn.BITLSHIFT(BOTH_OFF,(4*CCU8_SLICE_PHASE_V_NUM))),_xlfn.BITLSHIFT(LOW_ON,(4*CCU8_SLICE_PHASE_U_NUM)))</f>
        <v>33</v>
      </c>
    </row>
    <row r="271" spans="1:4" x14ac:dyDescent="0.25">
      <c r="A271" t="s">
        <v>118</v>
      </c>
      <c r="B271" t="s">
        <v>249</v>
      </c>
      <c r="C271" s="83">
        <f>_xlfn.BITOR(_xlfn.BITOR(_xlfn.BITLSHIFT(LOW_ON,(4*CCU8_SLICE_PHASE_W_NUM)), _xlfn.BITLSHIFT(LOW_ON,(4*CCU8_SLICE_PHASE_V_NUM))),_xlfn.BITLSHIFT(HIGH_ON,(4*CCU8_SLICE_PHASE_U_NUM)))</f>
        <v>530</v>
      </c>
    </row>
    <row r="272" spans="1:4" x14ac:dyDescent="0.25">
      <c r="A272" t="s">
        <v>118</v>
      </c>
      <c r="B272" t="s">
        <v>250</v>
      </c>
      <c r="C272" s="83">
        <f>_xlfn.BITOR(_xlfn.BITOR(_xlfn.BITLSHIFT(HIGH_ON,(4*CCU8_SLICE_PHASE_W_NUM)), _xlfn.BITLSHIFT(HIGH_ON,(4*CCU8_SLICE_PHASE_V_NUM))),_xlfn.BITLSHIFT(LOW_ON,(4*CCU8_SLICE_PHASE_U_NUM)))</f>
        <v>289</v>
      </c>
    </row>
    <row r="273" spans="1:4" x14ac:dyDescent="0.25">
      <c r="A273" t="s">
        <v>118</v>
      </c>
      <c r="B273" t="s">
        <v>251</v>
      </c>
      <c r="C273" s="83">
        <f>_xlfn.BITOR(_xlfn.BITOR(_xlfn.BITLSHIFT(LOW_ON,(4*CCU8_SLICE_PHASE_W_NUM)), _xlfn.BITLSHIFT(HIGH_ON,(4*CCU8_SLICE_PHASE_V_NUM))),_xlfn.BITLSHIFT(HIGH_ON,(4*CCU8_SLICE_PHASE_U_NUM)))</f>
        <v>274</v>
      </c>
    </row>
    <row r="274" spans="1:4" x14ac:dyDescent="0.25">
      <c r="A274" t="s">
        <v>118</v>
      </c>
      <c r="B274" t="s">
        <v>252</v>
      </c>
      <c r="C274" s="83">
        <f>_xlfn.BITOR(_xlfn.BITOR(_xlfn.BITLSHIFT(HIGH_ON,(4*CCU8_SLICE_PHASE_W_NUM)), _xlfn.BITLSHIFT(LOW_ON,(4*CCU8_SLICE_PHASE_V_NUM))),_xlfn.BITLSHIFT(LOW_ON,(4*CCU8_SLICE_PHASE_U_NUM)))</f>
        <v>545</v>
      </c>
    </row>
    <row r="275" spans="1:4" x14ac:dyDescent="0.25">
      <c r="A275" t="s">
        <v>118</v>
      </c>
      <c r="B275" t="s">
        <v>253</v>
      </c>
      <c r="C275" s="83">
        <f>_xlfn.BITOR(_xlfn.BITOR(_xlfn.BITLSHIFT(LOW_ON,(4*CCU8_SLICE_PHASE_W_NUM)), _xlfn.BITLSHIFT(HIGH_ON,(4*CCU8_SLICE_PHASE_V_NUM))),_xlfn.BITLSHIFT(LOW_ON,(4*CCU8_SLICE_PHASE_U_NUM)))</f>
        <v>290</v>
      </c>
    </row>
    <row r="276" spans="1:4" x14ac:dyDescent="0.25">
      <c r="A276" t="s">
        <v>118</v>
      </c>
      <c r="B276" t="s">
        <v>254</v>
      </c>
      <c r="C276" s="83">
        <f>_xlfn.BITOR(_xlfn.BITOR(_xlfn.BITLSHIFT(HIGH_ON,(4*CCU8_SLICE_PHASE_W_NUM)), _xlfn.BITLSHIFT(LOW_ON,(4*CCU8_SLICE_PHASE_V_NUM))),_xlfn.BITLSHIFT(HIGH_ON,(4*CCU8_SLICE_PHASE_U_NUM)))</f>
        <v>529</v>
      </c>
    </row>
    <row r="277" spans="1:4" x14ac:dyDescent="0.25">
      <c r="A277" t="s">
        <v>118</v>
      </c>
      <c r="B277" t="s">
        <v>255</v>
      </c>
      <c r="C277" s="83">
        <f>_xlfn.BITOR(_xlfn.BITOR(_xlfn.BITLSHIFT(LOW_ON,(4*CCU8_SLICE_PHASE_W_NUM)), _xlfn.BITLSHIFT(LOW_ON,(4*CCU8_SLICE_PHASE_V_NUM))),_xlfn.BITLSHIFT(LOW_ON,(4*CCU8_SLICE_PHASE_U_NUM)))</f>
        <v>546</v>
      </c>
    </row>
    <row r="278" spans="1:4" x14ac:dyDescent="0.25">
      <c r="A278" t="s">
        <v>118</v>
      </c>
      <c r="B278" t="s">
        <v>256</v>
      </c>
      <c r="C278" s="83">
        <f>_xlfn.BITOR(_xlfn.BITOR(_xlfn.BITLSHIFT(BOTH_ON,(4*CCU8_SLICE_PHASE_W_NUM)), _xlfn.BITLSHIFT(BOTH_ON,(4*CCU8_SLICE_PHASE_V_NUM))),_xlfn.BITLSHIFT(BOTH_ON,(4*CCU8_SLICE_PHASE_U_NUM)))</f>
        <v>819</v>
      </c>
    </row>
    <row r="279" spans="1:4" x14ac:dyDescent="0.25">
      <c r="A279" t="s">
        <v>118</v>
      </c>
      <c r="B279" t="s">
        <v>257</v>
      </c>
      <c r="C279" s="83">
        <f>_xlfn.BITOR(_xlfn.BITOR(_xlfn.BITLSHIFT(BOTH_OFF,(4*CCU8_SLICE_PHASE_W_NUM)), _xlfn.BITLSHIFT(BOTH_OFF,(4*CCU8_SLICE_PHASE_V_NUM))),_xlfn.BITLSHIFT(BOTH_OFF,(4*CCU8_SLICE_PHASE_U_NUM)))</f>
        <v>0</v>
      </c>
    </row>
    <row r="281" spans="1:4" x14ac:dyDescent="0.25">
      <c r="A281" s="324" t="s">
        <v>280</v>
      </c>
      <c r="B281" s="324"/>
      <c r="C281" s="324"/>
    </row>
    <row r="282" spans="1:4" x14ac:dyDescent="0.25">
      <c r="A282" t="s">
        <v>118</v>
      </c>
      <c r="B282" t="s">
        <v>258</v>
      </c>
      <c r="C282" s="83">
        <f>_xlfn.BITLSHIFT(1,(8+CCU8_MODULE_NUM))</f>
        <v>256</v>
      </c>
    </row>
    <row r="283" spans="1:4" x14ac:dyDescent="0.25">
      <c r="A283" t="s">
        <v>118</v>
      </c>
      <c r="B283" t="s">
        <v>259</v>
      </c>
      <c r="C283" s="83">
        <f>1</f>
        <v>1</v>
      </c>
    </row>
    <row r="284" spans="1:4" x14ac:dyDescent="0.25">
      <c r="A284" t="s">
        <v>118</v>
      </c>
      <c r="B284" t="s">
        <v>260</v>
      </c>
      <c r="C284" s="83">
        <f>_xlfn.BITOR(PMSM_FOC_CCU8_SYNC_START, PMSM_FOC_CCU4_SYNC_START)</f>
        <v>257</v>
      </c>
    </row>
    <row r="285" spans="1:4" x14ac:dyDescent="0.25">
      <c r="D285" s="1"/>
    </row>
    <row r="286" spans="1:4" x14ac:dyDescent="0.25">
      <c r="A286" s="324" t="s">
        <v>362</v>
      </c>
      <c r="B286" s="324"/>
      <c r="C286" s="324"/>
      <c r="D286" s="1"/>
    </row>
    <row r="287" spans="1:4" x14ac:dyDescent="0.25">
      <c r="A287" t="s">
        <v>118</v>
      </c>
      <c r="B287" t="s">
        <v>360</v>
      </c>
      <c r="C287" s="83" t="str">
        <f>IF((PMSM_FOC_RAM_ATTRIBUTE="None"),"", PMSM_FOC_RAM_ATTRIBUTE)</f>
        <v>__RAM_FUNC</v>
      </c>
      <c r="D287" s="1"/>
    </row>
    <row r="289" spans="1:3" x14ac:dyDescent="0.25">
      <c r="A289" s="324" t="s">
        <v>1745</v>
      </c>
      <c r="B289" s="324"/>
      <c r="C289" s="324"/>
    </row>
    <row r="290" spans="1:3" x14ac:dyDescent="0.25">
      <c r="A290" t="s">
        <v>118</v>
      </c>
      <c r="B290" s="32" t="s">
        <v>517</v>
      </c>
      <c r="C290" s="1" t="str">
        <f>USER_GD_PVCC_SETPT</f>
        <v>PVCC_15V</v>
      </c>
    </row>
    <row r="291" spans="1:3" x14ac:dyDescent="0.25">
      <c r="A291" t="s">
        <v>118</v>
      </c>
      <c r="B291" s="32" t="s">
        <v>1895</v>
      </c>
      <c r="C291" s="1" t="str">
        <f>USER_CP_CLK_FREQ_kHz</f>
        <v>CP_CLK_1562_5kHz</v>
      </c>
    </row>
    <row r="292" spans="1:3" x14ac:dyDescent="0.25">
      <c r="A292" t="s">
        <v>118</v>
      </c>
      <c r="B292" s="32" t="s">
        <v>1897</v>
      </c>
      <c r="C292" s="1" t="str">
        <f>USER_CP_CLK_SS_EN_DIS</f>
        <v>CP_CLK_SS_EN</v>
      </c>
    </row>
    <row r="293" spans="1:3" x14ac:dyDescent="0.25">
      <c r="A293" t="s">
        <v>118</v>
      </c>
      <c r="B293" s="32" t="s">
        <v>516</v>
      </c>
      <c r="C293" s="1" t="str">
        <f>USER_GD_I_PRE_EN</f>
        <v>PRECHAR_MODE_EN</v>
      </c>
    </row>
    <row r="294" spans="1:3" x14ac:dyDescent="0.25">
      <c r="A294" t="s">
        <v>118</v>
      </c>
      <c r="B294" s="32" t="s">
        <v>1731</v>
      </c>
      <c r="C294" s="1" t="str">
        <f>USER_GD_IPRE_SRC</f>
        <v>IDRIVE_PRE_40mA</v>
      </c>
    </row>
    <row r="295" spans="1:3" x14ac:dyDescent="0.25">
      <c r="A295" t="s">
        <v>118</v>
      </c>
      <c r="B295" s="32" t="s">
        <v>1732</v>
      </c>
      <c r="C295" s="1" t="str">
        <f>USER_GD_IPRE_SINK</f>
        <v>IDRIVE_PRE_60mA</v>
      </c>
    </row>
    <row r="296" spans="1:3" x14ac:dyDescent="0.25">
      <c r="A296" t="s">
        <v>118</v>
      </c>
      <c r="B296" s="32" t="s">
        <v>1727</v>
      </c>
      <c r="C296" s="1" t="str">
        <f>USER_GD_IHS_SRC</f>
        <v>IDRIVE_40mA</v>
      </c>
    </row>
    <row r="297" spans="1:3" x14ac:dyDescent="0.25">
      <c r="A297" t="s">
        <v>118</v>
      </c>
      <c r="B297" s="32" t="s">
        <v>1728</v>
      </c>
      <c r="C297" s="1" t="str">
        <f>USER_GD_IHS_SINK</f>
        <v>IDRIVE_60mA</v>
      </c>
    </row>
    <row r="298" spans="1:3" x14ac:dyDescent="0.25">
      <c r="A298" t="s">
        <v>118</v>
      </c>
      <c r="B298" s="32" t="s">
        <v>1729</v>
      </c>
      <c r="C298" s="1" t="str">
        <f>USER_GD_ILS_SRC</f>
        <v>IDRIVE_40mA</v>
      </c>
    </row>
    <row r="299" spans="1:3" x14ac:dyDescent="0.25">
      <c r="A299" t="s">
        <v>118</v>
      </c>
      <c r="B299" s="32" t="s">
        <v>1730</v>
      </c>
      <c r="C299" s="1" t="str">
        <f>USER_GD_ILS_SINK</f>
        <v>IDRIVE_60mA</v>
      </c>
    </row>
    <row r="300" spans="1:3" x14ac:dyDescent="0.25">
      <c r="A300" t="s">
        <v>118</v>
      </c>
      <c r="B300" s="32" t="s">
        <v>1739</v>
      </c>
      <c r="C300" s="83" t="str">
        <f>USER_GD_TDRIVE1</f>
        <v>TDRIVE1_0ns</v>
      </c>
    </row>
    <row r="301" spans="1:3" x14ac:dyDescent="0.25">
      <c r="A301" t="s">
        <v>118</v>
      </c>
      <c r="B301" s="32" t="s">
        <v>1740</v>
      </c>
      <c r="C301" s="83" t="str">
        <f>USER_GD_TDRIVE2</f>
        <v>TDRIVE2_450ns</v>
      </c>
    </row>
    <row r="302" spans="1:3" x14ac:dyDescent="0.25">
      <c r="A302" t="s">
        <v>118</v>
      </c>
      <c r="B302" s="32" t="s">
        <v>1741</v>
      </c>
      <c r="C302" s="83" t="str">
        <f>USER_GD_TDRIVE3</f>
        <v>TDRIVE3_0ns</v>
      </c>
    </row>
    <row r="303" spans="1:3" x14ac:dyDescent="0.25">
      <c r="A303" t="s">
        <v>118</v>
      </c>
      <c r="B303" s="32" t="s">
        <v>1742</v>
      </c>
      <c r="C303" s="83" t="str">
        <f>USER_GD_TDRIVE4</f>
        <v>TDRIVE4_880ns</v>
      </c>
    </row>
    <row r="304" spans="1:3" x14ac:dyDescent="0.25">
      <c r="A304" t="s">
        <v>118</v>
      </c>
      <c r="B304" s="32" t="s">
        <v>1743</v>
      </c>
      <c r="C304" s="83" t="str">
        <f>USER_GD_DT_RISE</f>
        <v>DT_840ns</v>
      </c>
    </row>
    <row r="305" spans="1:3" x14ac:dyDescent="0.25">
      <c r="A305" t="s">
        <v>118</v>
      </c>
      <c r="B305" s="32" t="s">
        <v>1744</v>
      </c>
      <c r="C305" s="83" t="str">
        <f>USER_GD_DT_FALL</f>
        <v>DT_840ns</v>
      </c>
    </row>
    <row r="306" spans="1:3" x14ac:dyDescent="0.25">
      <c r="A306" t="s">
        <v>118</v>
      </c>
      <c r="B306" s="32" t="s">
        <v>1765</v>
      </c>
      <c r="C306" s="83" t="str">
        <f>LOOKUP(GD_CSOPAMP_GAIN,'6EDL7141_CONFIG_MACRO'!I2:I9,'6EDL7141_CONFIG_MACRO'!J2:J9)</f>
        <v>CS_GAIN_12V</v>
      </c>
    </row>
    <row r="307" spans="1:3" x14ac:dyDescent="0.25">
      <c r="A307" s="324"/>
      <c r="B307" s="324"/>
      <c r="C307" s="324"/>
    </row>
    <row r="308" spans="1:3" x14ac:dyDescent="0.25">
      <c r="A308" s="324" t="s">
        <v>454</v>
      </c>
      <c r="B308" s="324"/>
      <c r="C308" s="324"/>
    </row>
    <row r="309" spans="1:3" x14ac:dyDescent="0.25">
      <c r="A309" t="s">
        <v>118</v>
      </c>
      <c r="B309" t="s">
        <v>1837</v>
      </c>
      <c r="C309" s="83">
        <f>SYSTEM_IDLE_TIME_COUNT</f>
        <v>30000</v>
      </c>
    </row>
    <row r="311" spans="1:3" x14ac:dyDescent="0.25">
      <c r="A311" s="324" t="s">
        <v>446</v>
      </c>
      <c r="B311" s="324"/>
      <c r="C311" s="324"/>
    </row>
    <row r="312" spans="1:3" x14ac:dyDescent="0.25">
      <c r="A312" t="s">
        <v>118</v>
      </c>
      <c r="B312" t="s">
        <v>447</v>
      </c>
      <c r="C312" s="83">
        <f>CONVERT_SPEED_TO_RPM</f>
        <v>2150</v>
      </c>
    </row>
    <row r="313" spans="1:3" x14ac:dyDescent="0.25">
      <c r="A313" t="s">
        <v>118</v>
      </c>
      <c r="B313" t="s">
        <v>448</v>
      </c>
      <c r="C313" s="83">
        <f>SPEED_TO_RPM_SCALE</f>
        <v>14</v>
      </c>
    </row>
    <row r="314" spans="1:3" x14ac:dyDescent="0.25">
      <c r="A314" t="s">
        <v>118</v>
      </c>
      <c r="B314" t="s">
        <v>1753</v>
      </c>
      <c r="C314" s="83">
        <f>VDC_ADC_TO_mV</f>
        <v>16383</v>
      </c>
    </row>
    <row r="315" spans="1:3" x14ac:dyDescent="0.25">
      <c r="A315" t="s">
        <v>118</v>
      </c>
      <c r="B315" t="s">
        <v>1754</v>
      </c>
      <c r="C315" s="83">
        <f>VDC_ADC_TO_mV_SCALE</f>
        <v>10</v>
      </c>
    </row>
    <row r="317" spans="1:3" x14ac:dyDescent="0.25">
      <c r="A317" s="324" t="s">
        <v>1848</v>
      </c>
      <c r="B317" s="324"/>
      <c r="C317" s="324"/>
    </row>
    <row r="318" spans="1:3" x14ac:dyDescent="0.25">
      <c r="A318" s="1" t="s">
        <v>118</v>
      </c>
      <c r="B318" s="82" t="s">
        <v>1870</v>
      </c>
      <c r="C318" s="1" t="str">
        <f>E_BIKE_REF</f>
        <v>DISABLED</v>
      </c>
    </row>
    <row r="319" spans="1:3" x14ac:dyDescent="0.25">
      <c r="A319" s="1" t="s">
        <v>118</v>
      </c>
      <c r="B319" s="82" t="s">
        <v>1873</v>
      </c>
      <c r="C319" s="1">
        <f>WINDOW_SIZE</f>
        <v>8</v>
      </c>
    </row>
    <row r="320" spans="1:3" x14ac:dyDescent="0.25">
      <c r="A320" s="1" t="s">
        <v>118</v>
      </c>
      <c r="B320" s="82" t="s">
        <v>1883</v>
      </c>
      <c r="C320" s="1">
        <f>WINDOW_SIZE_DIV_SCALE</f>
        <v>3</v>
      </c>
    </row>
    <row r="321" spans="1:3" x14ac:dyDescent="0.25">
      <c r="A321" s="1" t="s">
        <v>118</v>
      </c>
      <c r="B321" t="s">
        <v>1842</v>
      </c>
      <c r="C321" s="1">
        <f>E_ECO_SCALE_OF_T</f>
        <v>14</v>
      </c>
    </row>
    <row r="322" spans="1:3" x14ac:dyDescent="0.25">
      <c r="A322" s="1" t="s">
        <v>118</v>
      </c>
      <c r="B322" t="s">
        <v>1843</v>
      </c>
      <c r="C322" s="1">
        <f>E_ECO_T_SCALEDUP</f>
        <v>16806</v>
      </c>
    </row>
    <row r="323" spans="1:3" x14ac:dyDescent="0.25">
      <c r="A323" s="1" t="s">
        <v>118</v>
      </c>
      <c r="B323" t="s">
        <v>1844</v>
      </c>
      <c r="C323" s="1">
        <f>E_NORMAL_SCALE_OF_T</f>
        <v>14</v>
      </c>
    </row>
    <row r="324" spans="1:3" x14ac:dyDescent="0.25">
      <c r="A324" s="1" t="s">
        <v>118</v>
      </c>
      <c r="B324" t="s">
        <v>1845</v>
      </c>
      <c r="C324" s="1">
        <f>E_NORMAL_T_SCALEDUP</f>
        <v>21008</v>
      </c>
    </row>
    <row r="325" spans="1:3" x14ac:dyDescent="0.25">
      <c r="A325" s="1" t="s">
        <v>118</v>
      </c>
      <c r="B325" t="s">
        <v>1846</v>
      </c>
      <c r="C325" s="1">
        <f>E_SPORT_SCALE_OF_T</f>
        <v>13</v>
      </c>
    </row>
    <row r="326" spans="1:3" x14ac:dyDescent="0.25">
      <c r="A326" s="1" t="s">
        <v>118</v>
      </c>
      <c r="B326" t="s">
        <v>1847</v>
      </c>
      <c r="C326" s="1">
        <f>E_SPORT_T_SCALEDUP</f>
        <v>21008</v>
      </c>
    </row>
    <row r="327" spans="1:3" x14ac:dyDescent="0.25">
      <c r="A327" s="1"/>
      <c r="C327" s="1"/>
    </row>
    <row r="328" spans="1:3" x14ac:dyDescent="0.25">
      <c r="A328" s="1"/>
      <c r="B328" s="32"/>
      <c r="C328" s="1"/>
    </row>
    <row r="329" spans="1:3" x14ac:dyDescent="0.25">
      <c r="A329" s="1" t="s">
        <v>118</v>
      </c>
      <c r="B329" s="32" t="s">
        <v>1860</v>
      </c>
      <c r="C329" s="1">
        <f>E_BIKE_IQ_RAMP_DOWN_STEP</f>
        <v>1</v>
      </c>
    </row>
    <row r="330" spans="1:3" x14ac:dyDescent="0.25">
      <c r="A330" s="1" t="s">
        <v>118</v>
      </c>
      <c r="B330" s="32" t="s">
        <v>1869</v>
      </c>
      <c r="C330" s="1">
        <f>E_BIKE_RAMP_STEP_TIME_FCL_COUNT</f>
        <v>1</v>
      </c>
    </row>
    <row r="331" spans="1:3" x14ac:dyDescent="0.25">
      <c r="A331" s="1" t="s">
        <v>118</v>
      </c>
      <c r="B331" t="s">
        <v>1866</v>
      </c>
      <c r="C331" s="1">
        <f>E_BIKE_POWER_RAW_SCALE_UP</f>
        <v>24164496</v>
      </c>
    </row>
    <row r="332" spans="1:3" x14ac:dyDescent="0.25">
      <c r="A332" s="1" t="s">
        <v>118</v>
      </c>
      <c r="B332" s="32" t="s">
        <v>1906</v>
      </c>
      <c r="C332" s="1" t="str">
        <f>MAX_POWER_LIMIT_EN_DIS</f>
        <v>DISABLED</v>
      </c>
    </row>
    <row r="333" spans="1:3" x14ac:dyDescent="0.25">
      <c r="A333" s="1" t="s">
        <v>118</v>
      </c>
      <c r="B333" t="s">
        <v>1907</v>
      </c>
      <c r="C333" s="83" t="str">
        <f>MAX_ASSIST_TORQUE_LIMIT_EN_DIS</f>
        <v>DISABLED</v>
      </c>
    </row>
    <row r="334" spans="1:3" x14ac:dyDescent="0.25">
      <c r="A334" s="1"/>
    </row>
    <row r="335" spans="1:3" x14ac:dyDescent="0.25">
      <c r="A335" s="1" t="s">
        <v>1776</v>
      </c>
      <c r="B335" t="s">
        <v>1913</v>
      </c>
      <c r="C335" s="83" cm="1">
        <f t="array" ref="C335">HALL_OFFSET_COMPENSATION_ANGLE_INIT</f>
        <v>59652324</v>
      </c>
    </row>
    <row r="337" spans="1:3" x14ac:dyDescent="0.25">
      <c r="A337" s="1"/>
      <c r="C337" s="1"/>
    </row>
    <row r="338" spans="1:3" x14ac:dyDescent="0.25">
      <c r="A338" s="325" t="s">
        <v>479</v>
      </c>
      <c r="B338" s="326"/>
      <c r="C338" s="326"/>
    </row>
    <row r="340" spans="1:3" x14ac:dyDescent="0.25">
      <c r="B340" s="83"/>
    </row>
  </sheetData>
  <mergeCells count="53">
    <mergeCell ref="A233:C233"/>
    <mergeCell ref="A62:C62"/>
    <mergeCell ref="A67:C67"/>
    <mergeCell ref="A216:C216"/>
    <mergeCell ref="A223:C223"/>
    <mergeCell ref="A128:C128"/>
    <mergeCell ref="A133:C133"/>
    <mergeCell ref="A136:C136"/>
    <mergeCell ref="A139:C139"/>
    <mergeCell ref="A121:C121"/>
    <mergeCell ref="A338:C338"/>
    <mergeCell ref="A244:C244"/>
    <mergeCell ref="A254:C254"/>
    <mergeCell ref="A286:C286"/>
    <mergeCell ref="A264:C264"/>
    <mergeCell ref="A311:C311"/>
    <mergeCell ref="A289:C289"/>
    <mergeCell ref="A307:C307"/>
    <mergeCell ref="A308:C308"/>
    <mergeCell ref="A281:C281"/>
    <mergeCell ref="A317:C317"/>
    <mergeCell ref="A1:C3"/>
    <mergeCell ref="A208:C208"/>
    <mergeCell ref="A186:C186"/>
    <mergeCell ref="A182:C182"/>
    <mergeCell ref="A4:D4"/>
    <mergeCell ref="A43:C43"/>
    <mergeCell ref="A48:C48"/>
    <mergeCell ref="A56:C56"/>
    <mergeCell ref="A59:C59"/>
    <mergeCell ref="A17:C17"/>
    <mergeCell ref="A20:C20"/>
    <mergeCell ref="A23:C23"/>
    <mergeCell ref="A26:C26"/>
    <mergeCell ref="A33:C33"/>
    <mergeCell ref="A37:C37"/>
    <mergeCell ref="A30:C30"/>
    <mergeCell ref="A13:C13"/>
    <mergeCell ref="A201:C201"/>
    <mergeCell ref="A145:C145"/>
    <mergeCell ref="A170:C170"/>
    <mergeCell ref="A74:C74"/>
    <mergeCell ref="A90:C90"/>
    <mergeCell ref="A103:C103"/>
    <mergeCell ref="A79:C79"/>
    <mergeCell ref="A100:C100"/>
    <mergeCell ref="A148:C148"/>
    <mergeCell ref="A152:C152"/>
    <mergeCell ref="A178:C178"/>
    <mergeCell ref="A198:C198"/>
    <mergeCell ref="A156:C156"/>
    <mergeCell ref="A161:C161"/>
    <mergeCell ref="A165:C16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9673-887E-4904-B7D9-259FDA90D516}">
  <sheetPr codeName="Sheet4"/>
  <dimension ref="A2:D112"/>
  <sheetViews>
    <sheetView topLeftCell="A96" workbookViewId="0">
      <selection activeCell="C21" sqref="C21"/>
    </sheetView>
  </sheetViews>
  <sheetFormatPr defaultRowHeight="15" x14ac:dyDescent="0.25"/>
  <cols>
    <col min="2" max="2" width="39.28515625" bestFit="1" customWidth="1"/>
    <col min="3" max="3" width="11.7109375" style="1" bestFit="1" customWidth="1"/>
    <col min="4" max="4" width="70.42578125" bestFit="1" customWidth="1"/>
  </cols>
  <sheetData>
    <row r="2" spans="1:3" x14ac:dyDescent="0.25">
      <c r="A2" t="s">
        <v>118</v>
      </c>
      <c r="B2" t="s">
        <v>262</v>
      </c>
      <c r="C2" s="1">
        <v>0</v>
      </c>
    </row>
    <row r="3" spans="1:3" x14ac:dyDescent="0.25">
      <c r="A3" t="s">
        <v>118</v>
      </c>
      <c r="B3" t="s">
        <v>263</v>
      </c>
      <c r="C3" s="1">
        <v>1</v>
      </c>
    </row>
    <row r="4" spans="1:3" x14ac:dyDescent="0.25">
      <c r="A4" t="s">
        <v>118</v>
      </c>
      <c r="B4" t="s">
        <v>264</v>
      </c>
      <c r="C4" s="1">
        <v>2</v>
      </c>
    </row>
    <row r="5" spans="1:3" x14ac:dyDescent="0.25">
      <c r="A5" t="s">
        <v>118</v>
      </c>
      <c r="B5" t="s">
        <v>265</v>
      </c>
      <c r="C5" s="1">
        <v>3</v>
      </c>
    </row>
    <row r="7" spans="1:3" x14ac:dyDescent="0.25">
      <c r="A7" t="s">
        <v>118</v>
      </c>
      <c r="B7" t="s">
        <v>294</v>
      </c>
      <c r="C7" s="1">
        <v>1</v>
      </c>
    </row>
    <row r="8" spans="1:3" x14ac:dyDescent="0.25">
      <c r="A8" t="s">
        <v>118</v>
      </c>
      <c r="B8" t="s">
        <v>455</v>
      </c>
      <c r="C8" s="1">
        <v>0</v>
      </c>
    </row>
    <row r="10" spans="1:3" x14ac:dyDescent="0.25">
      <c r="A10" s="324" t="s">
        <v>473</v>
      </c>
      <c r="B10" s="324"/>
      <c r="C10" s="324"/>
    </row>
    <row r="11" spans="1:3" x14ac:dyDescent="0.25">
      <c r="A11" s="1" t="s">
        <v>118</v>
      </c>
      <c r="B11" s="82" t="s">
        <v>474</v>
      </c>
      <c r="C11" s="1" t="s">
        <v>294</v>
      </c>
    </row>
    <row r="13" spans="1:3" x14ac:dyDescent="0.25">
      <c r="A13" s="324" t="s">
        <v>297</v>
      </c>
      <c r="B13" s="324"/>
      <c r="C13" s="324"/>
    </row>
    <row r="14" spans="1:3" x14ac:dyDescent="0.25">
      <c r="A14" t="s">
        <v>118</v>
      </c>
      <c r="B14" t="s">
        <v>295</v>
      </c>
      <c r="C14" s="1">
        <v>1</v>
      </c>
    </row>
    <row r="15" spans="1:3" x14ac:dyDescent="0.25">
      <c r="A15" t="s">
        <v>118</v>
      </c>
      <c r="B15" t="s">
        <v>296</v>
      </c>
      <c r="C15" s="1">
        <v>2</v>
      </c>
    </row>
    <row r="17" spans="1:3" x14ac:dyDescent="0.25">
      <c r="A17" s="324" t="s">
        <v>302</v>
      </c>
      <c r="B17" s="324"/>
      <c r="C17" s="324"/>
    </row>
    <row r="18" spans="1:3" x14ac:dyDescent="0.25">
      <c r="A18" t="s">
        <v>118</v>
      </c>
      <c r="B18" t="s">
        <v>298</v>
      </c>
      <c r="C18" s="1">
        <v>1</v>
      </c>
    </row>
    <row r="19" spans="1:3" x14ac:dyDescent="0.25">
      <c r="A19" t="s">
        <v>118</v>
      </c>
      <c r="B19" t="s">
        <v>299</v>
      </c>
      <c r="C19" s="1">
        <v>2</v>
      </c>
    </row>
    <row r="20" spans="1:3" x14ac:dyDescent="0.25">
      <c r="A20" t="s">
        <v>118</v>
      </c>
      <c r="B20" t="s">
        <v>300</v>
      </c>
      <c r="C20" s="1">
        <f>32767</f>
        <v>32767</v>
      </c>
    </row>
    <row r="21" spans="1:3" x14ac:dyDescent="0.25">
      <c r="A21" t="s">
        <v>118</v>
      </c>
      <c r="B21" t="s">
        <v>301</v>
      </c>
      <c r="C21" s="1">
        <f>ROUND((SVPWM_MAX_OVERMOD_RANGE*0.8660254),0)</f>
        <v>28377</v>
      </c>
    </row>
    <row r="23" spans="1:3" x14ac:dyDescent="0.25">
      <c r="A23" s="324" t="s">
        <v>449</v>
      </c>
      <c r="B23" s="324"/>
      <c r="C23" s="324"/>
    </row>
    <row r="24" spans="1:3" x14ac:dyDescent="0.25">
      <c r="A24" t="s">
        <v>118</v>
      </c>
      <c r="B24" s="82" t="s">
        <v>450</v>
      </c>
      <c r="C24" s="1">
        <v>0</v>
      </c>
    </row>
    <row r="25" spans="1:3" x14ac:dyDescent="0.25">
      <c r="A25" t="s">
        <v>118</v>
      </c>
      <c r="B25" t="s">
        <v>451</v>
      </c>
      <c r="C25" s="1">
        <v>1</v>
      </c>
    </row>
    <row r="27" spans="1:3" x14ac:dyDescent="0.25">
      <c r="A27" s="324" t="s">
        <v>469</v>
      </c>
      <c r="B27" s="324"/>
      <c r="C27" s="324"/>
    </row>
    <row r="28" spans="1:3" x14ac:dyDescent="0.25">
      <c r="A28" t="s">
        <v>118</v>
      </c>
      <c r="B28" s="82" t="s">
        <v>470</v>
      </c>
      <c r="C28" s="1">
        <v>0</v>
      </c>
    </row>
    <row r="29" spans="1:3" x14ac:dyDescent="0.25">
      <c r="A29" t="s">
        <v>118</v>
      </c>
      <c r="B29" s="82" t="s">
        <v>471</v>
      </c>
      <c r="C29" s="1">
        <v>1</v>
      </c>
    </row>
    <row r="30" spans="1:3" x14ac:dyDescent="0.25">
      <c r="A30" t="s">
        <v>118</v>
      </c>
      <c r="B30" s="82" t="s">
        <v>472</v>
      </c>
      <c r="C30" s="1">
        <v>2</v>
      </c>
    </row>
    <row r="32" spans="1:3" x14ac:dyDescent="0.25">
      <c r="A32" s="324" t="s">
        <v>303</v>
      </c>
      <c r="B32" s="324"/>
      <c r="C32" s="324"/>
    </row>
    <row r="33" spans="1:3" x14ac:dyDescent="0.25">
      <c r="A33" t="s">
        <v>118</v>
      </c>
      <c r="B33" t="s">
        <v>304</v>
      </c>
      <c r="C33" s="1">
        <v>1</v>
      </c>
    </row>
    <row r="34" spans="1:3" x14ac:dyDescent="0.25">
      <c r="A34" t="s">
        <v>118</v>
      </c>
      <c r="B34" t="s">
        <v>305</v>
      </c>
      <c r="C34" s="1">
        <v>2</v>
      </c>
    </row>
    <row r="36" spans="1:3" x14ac:dyDescent="0.25">
      <c r="A36" s="324" t="s">
        <v>306</v>
      </c>
      <c r="B36" s="324"/>
      <c r="C36" s="324"/>
    </row>
    <row r="37" spans="1:3" x14ac:dyDescent="0.25">
      <c r="A37" t="s">
        <v>118</v>
      </c>
      <c r="B37" t="s">
        <v>307</v>
      </c>
      <c r="C37" s="1">
        <v>0</v>
      </c>
    </row>
    <row r="38" spans="1:3" x14ac:dyDescent="0.25">
      <c r="A38" t="s">
        <v>118</v>
      </c>
      <c r="B38" t="s">
        <v>1823</v>
      </c>
      <c r="C38" s="1">
        <v>1</v>
      </c>
    </row>
    <row r="39" spans="1:3" x14ac:dyDescent="0.25">
      <c r="A39" t="s">
        <v>118</v>
      </c>
      <c r="B39" t="s">
        <v>308</v>
      </c>
      <c r="C39" s="1">
        <v>2</v>
      </c>
    </row>
    <row r="40" spans="1:3" x14ac:dyDescent="0.25">
      <c r="A40" t="s">
        <v>118</v>
      </c>
      <c r="B40" t="s">
        <v>309</v>
      </c>
      <c r="C40" s="1">
        <v>3</v>
      </c>
    </row>
    <row r="42" spans="1:3" x14ac:dyDescent="0.25">
      <c r="A42" s="324" t="s">
        <v>310</v>
      </c>
      <c r="B42" s="324"/>
      <c r="C42" s="324"/>
    </row>
    <row r="43" spans="1:3" x14ac:dyDescent="0.25">
      <c r="A43" t="s">
        <v>118</v>
      </c>
      <c r="B43" t="s">
        <v>311</v>
      </c>
      <c r="C43" s="1">
        <v>0</v>
      </c>
    </row>
    <row r="44" spans="1:3" x14ac:dyDescent="0.25">
      <c r="A44" t="s">
        <v>118</v>
      </c>
      <c r="B44" t="s">
        <v>312</v>
      </c>
      <c r="C44" s="1">
        <v>1</v>
      </c>
    </row>
    <row r="45" spans="1:3" x14ac:dyDescent="0.25">
      <c r="A45" t="s">
        <v>118</v>
      </c>
      <c r="B45" t="s">
        <v>313</v>
      </c>
      <c r="C45" s="1">
        <v>2</v>
      </c>
    </row>
    <row r="47" spans="1:3" x14ac:dyDescent="0.25">
      <c r="A47" t="s">
        <v>118</v>
      </c>
      <c r="B47" t="s">
        <v>314</v>
      </c>
      <c r="C47" s="1">
        <v>0</v>
      </c>
    </row>
    <row r="48" spans="1:3" x14ac:dyDescent="0.25">
      <c r="A48" t="s">
        <v>118</v>
      </c>
      <c r="B48" t="s">
        <v>315</v>
      </c>
      <c r="C48" s="1">
        <v>1</v>
      </c>
    </row>
    <row r="50" spans="1:3" x14ac:dyDescent="0.25">
      <c r="A50" s="324" t="s">
        <v>316</v>
      </c>
      <c r="B50" s="324"/>
      <c r="C50" s="324"/>
    </row>
    <row r="51" spans="1:3" x14ac:dyDescent="0.25">
      <c r="A51" t="s">
        <v>118</v>
      </c>
      <c r="B51" t="s">
        <v>317</v>
      </c>
      <c r="C51" s="1">
        <v>2</v>
      </c>
    </row>
    <row r="52" spans="1:3" x14ac:dyDescent="0.25">
      <c r="A52" t="s">
        <v>118</v>
      </c>
      <c r="B52" t="s">
        <v>318</v>
      </c>
      <c r="C52" s="1">
        <v>0</v>
      </c>
    </row>
    <row r="54" spans="1:3" x14ac:dyDescent="0.25">
      <c r="A54" s="324" t="s">
        <v>321</v>
      </c>
      <c r="B54" s="324"/>
      <c r="C54" s="324"/>
    </row>
    <row r="55" spans="1:3" x14ac:dyDescent="0.25">
      <c r="A55" t="s">
        <v>118</v>
      </c>
      <c r="B55" t="s">
        <v>319</v>
      </c>
      <c r="C55" s="1">
        <v>0</v>
      </c>
    </row>
    <row r="56" spans="1:3" x14ac:dyDescent="0.25">
      <c r="A56" t="s">
        <v>118</v>
      </c>
      <c r="B56" t="s">
        <v>320</v>
      </c>
      <c r="C56" s="1">
        <v>1</v>
      </c>
    </row>
    <row r="58" spans="1:3" x14ac:dyDescent="0.25">
      <c r="A58" t="s">
        <v>118</v>
      </c>
      <c r="B58" t="s">
        <v>188</v>
      </c>
      <c r="C58" s="1">
        <v>1</v>
      </c>
    </row>
    <row r="59" spans="1:3" x14ac:dyDescent="0.25">
      <c r="A59" t="s">
        <v>118</v>
      </c>
      <c r="B59" t="s">
        <v>189</v>
      </c>
      <c r="C59" s="1">
        <v>0</v>
      </c>
    </row>
    <row r="60" spans="1:3" x14ac:dyDescent="0.25">
      <c r="A60" t="s">
        <v>118</v>
      </c>
      <c r="B60" s="82" t="b">
        <v>1</v>
      </c>
      <c r="C60" s="1">
        <v>1</v>
      </c>
    </row>
    <row r="61" spans="1:3" x14ac:dyDescent="0.25">
      <c r="A61" t="s">
        <v>118</v>
      </c>
      <c r="B61" s="82" t="b">
        <v>0</v>
      </c>
      <c r="C61" s="1">
        <v>0</v>
      </c>
    </row>
    <row r="62" spans="1:3" x14ac:dyDescent="0.25">
      <c r="B62" s="82"/>
    </row>
    <row r="63" spans="1:3" x14ac:dyDescent="0.25">
      <c r="A63" s="324" t="s">
        <v>322</v>
      </c>
      <c r="B63" s="324"/>
      <c r="C63" s="324"/>
    </row>
    <row r="64" spans="1:3" x14ac:dyDescent="0.25">
      <c r="A64" s="1" t="s">
        <v>118</v>
      </c>
      <c r="B64" s="82" t="s">
        <v>452</v>
      </c>
      <c r="C64" s="1">
        <v>2</v>
      </c>
    </row>
    <row r="65" spans="1:3" x14ac:dyDescent="0.25">
      <c r="B65" s="82"/>
    </row>
    <row r="66" spans="1:3" x14ac:dyDescent="0.25">
      <c r="A66" s="324" t="s">
        <v>322</v>
      </c>
      <c r="B66" s="324"/>
      <c r="C66" s="324"/>
    </row>
    <row r="67" spans="1:3" x14ac:dyDescent="0.25">
      <c r="A67" t="s">
        <v>118</v>
      </c>
      <c r="B67" t="s">
        <v>323</v>
      </c>
      <c r="C67" s="1">
        <v>0</v>
      </c>
    </row>
    <row r="68" spans="1:3" x14ac:dyDescent="0.25">
      <c r="A68" t="s">
        <v>118</v>
      </c>
      <c r="B68" t="s">
        <v>324</v>
      </c>
      <c r="C68" s="1">
        <v>1</v>
      </c>
    </row>
    <row r="70" spans="1:3" x14ac:dyDescent="0.25">
      <c r="A70" s="324" t="s">
        <v>325</v>
      </c>
      <c r="B70" s="324"/>
      <c r="C70" s="324"/>
    </row>
    <row r="71" spans="1:3" x14ac:dyDescent="0.25">
      <c r="A71" t="s">
        <v>118</v>
      </c>
      <c r="B71" t="s">
        <v>326</v>
      </c>
      <c r="C71" s="1">
        <v>1</v>
      </c>
    </row>
    <row r="72" spans="1:3" x14ac:dyDescent="0.25">
      <c r="A72" t="s">
        <v>118</v>
      </c>
      <c r="B72" t="s">
        <v>327</v>
      </c>
      <c r="C72" s="1">
        <v>2</v>
      </c>
    </row>
    <row r="74" spans="1:3" x14ac:dyDescent="0.25">
      <c r="A74" s="324" t="s">
        <v>328</v>
      </c>
      <c r="B74" s="324"/>
      <c r="C74" s="324"/>
    </row>
    <row r="75" spans="1:3" x14ac:dyDescent="0.25">
      <c r="A75" t="s">
        <v>118</v>
      </c>
      <c r="B75" t="s">
        <v>329</v>
      </c>
      <c r="C75" s="1">
        <v>0</v>
      </c>
    </row>
    <row r="76" spans="1:3" x14ac:dyDescent="0.25">
      <c r="A76" t="s">
        <v>118</v>
      </c>
      <c r="B76" t="s">
        <v>330</v>
      </c>
      <c r="C76" s="1">
        <v>357913941</v>
      </c>
    </row>
    <row r="77" spans="1:3" x14ac:dyDescent="0.25">
      <c r="A77" t="s">
        <v>118</v>
      </c>
      <c r="B77" t="s">
        <v>331</v>
      </c>
      <c r="C77" s="1">
        <v>715827883</v>
      </c>
    </row>
    <row r="78" spans="1:3" x14ac:dyDescent="0.25">
      <c r="A78" t="s">
        <v>118</v>
      </c>
      <c r="B78" t="s">
        <v>332</v>
      </c>
      <c r="C78" s="1">
        <v>1073741824</v>
      </c>
    </row>
    <row r="79" spans="1:3" x14ac:dyDescent="0.25">
      <c r="A79" t="s">
        <v>118</v>
      </c>
      <c r="B79" t="s">
        <v>333</v>
      </c>
      <c r="C79" s="1">
        <v>1431655765</v>
      </c>
    </row>
    <row r="80" spans="1:3" x14ac:dyDescent="0.25">
      <c r="A80" t="s">
        <v>118</v>
      </c>
      <c r="B80" t="s">
        <v>334</v>
      </c>
      <c r="C80" s="1">
        <v>1789569707</v>
      </c>
    </row>
    <row r="81" spans="1:3" x14ac:dyDescent="0.25">
      <c r="A81" t="s">
        <v>118</v>
      </c>
      <c r="B81" t="s">
        <v>335</v>
      </c>
      <c r="C81" s="1">
        <v>2147483647</v>
      </c>
    </row>
    <row r="82" spans="1:3" x14ac:dyDescent="0.25">
      <c r="A82" t="s">
        <v>118</v>
      </c>
      <c r="B82" t="s">
        <v>336</v>
      </c>
      <c r="C82" s="1">
        <v>-1789569707</v>
      </c>
    </row>
    <row r="83" spans="1:3" x14ac:dyDescent="0.25">
      <c r="A83" t="s">
        <v>118</v>
      </c>
      <c r="B83" t="s">
        <v>337</v>
      </c>
      <c r="C83" s="1">
        <v>-1431655765</v>
      </c>
    </row>
    <row r="84" spans="1:3" x14ac:dyDescent="0.25">
      <c r="A84" t="s">
        <v>118</v>
      </c>
      <c r="B84" t="s">
        <v>338</v>
      </c>
      <c r="C84" s="1">
        <v>-1073741824</v>
      </c>
    </row>
    <row r="85" spans="1:3" x14ac:dyDescent="0.25">
      <c r="A85" t="s">
        <v>118</v>
      </c>
      <c r="B85" t="s">
        <v>339</v>
      </c>
      <c r="C85" s="1">
        <v>-715827883</v>
      </c>
    </row>
    <row r="86" spans="1:3" x14ac:dyDescent="0.25">
      <c r="A86" t="s">
        <v>118</v>
      </c>
      <c r="B86" t="s">
        <v>340</v>
      </c>
      <c r="C86" s="1">
        <v>-357913941</v>
      </c>
    </row>
    <row r="87" spans="1:3" x14ac:dyDescent="0.25">
      <c r="A87" t="s">
        <v>118</v>
      </c>
      <c r="B87" t="s">
        <v>341</v>
      </c>
      <c r="C87" s="1">
        <v>555</v>
      </c>
    </row>
    <row r="89" spans="1:3" x14ac:dyDescent="0.25">
      <c r="A89" s="324" t="s">
        <v>348</v>
      </c>
      <c r="B89" s="324"/>
      <c r="C89" s="324"/>
    </row>
    <row r="90" spans="1:3" x14ac:dyDescent="0.25">
      <c r="A90" t="s">
        <v>118</v>
      </c>
      <c r="B90" t="s">
        <v>342</v>
      </c>
      <c r="C90" s="1">
        <v>98</v>
      </c>
    </row>
    <row r="91" spans="1:3" x14ac:dyDescent="0.25">
      <c r="A91" t="s">
        <v>118</v>
      </c>
      <c r="B91" t="s">
        <v>343</v>
      </c>
      <c r="C91" s="1">
        <v>106</v>
      </c>
    </row>
    <row r="92" spans="1:3" x14ac:dyDescent="0.25">
      <c r="A92" t="s">
        <v>118</v>
      </c>
      <c r="B92" t="s">
        <v>344</v>
      </c>
      <c r="C92" s="1">
        <v>102</v>
      </c>
    </row>
    <row r="93" spans="1:3" x14ac:dyDescent="0.25">
      <c r="A93" t="s">
        <v>118</v>
      </c>
      <c r="B93" t="s">
        <v>345</v>
      </c>
      <c r="C93" s="1">
        <v>311</v>
      </c>
    </row>
    <row r="94" spans="1:3" x14ac:dyDescent="0.25">
      <c r="A94" t="s">
        <v>118</v>
      </c>
      <c r="B94" t="s">
        <v>346</v>
      </c>
      <c r="C94" s="1">
        <v>618</v>
      </c>
    </row>
    <row r="95" spans="1:3" x14ac:dyDescent="0.25">
      <c r="A95" t="s">
        <v>118</v>
      </c>
      <c r="B95" t="s">
        <v>347</v>
      </c>
      <c r="C95" s="1">
        <v>8</v>
      </c>
    </row>
    <row r="96" spans="1:3" x14ac:dyDescent="0.25">
      <c r="A96" t="s">
        <v>118</v>
      </c>
      <c r="B96" t="s">
        <v>456</v>
      </c>
      <c r="C96" s="1">
        <v>14</v>
      </c>
    </row>
    <row r="98" spans="1:4" x14ac:dyDescent="0.25">
      <c r="A98" s="324" t="s">
        <v>353</v>
      </c>
      <c r="B98" s="324"/>
      <c r="C98" s="324"/>
    </row>
    <row r="99" spans="1:4" x14ac:dyDescent="0.25">
      <c r="A99" t="s">
        <v>118</v>
      </c>
      <c r="B99" t="s">
        <v>349</v>
      </c>
      <c r="C99" s="1">
        <v>1</v>
      </c>
    </row>
    <row r="100" spans="1:4" x14ac:dyDescent="0.25">
      <c r="A100" t="s">
        <v>118</v>
      </c>
      <c r="B100" t="s">
        <v>350</v>
      </c>
      <c r="C100" s="1">
        <v>-1</v>
      </c>
    </row>
    <row r="102" spans="1:4" x14ac:dyDescent="0.25">
      <c r="A102" s="324" t="s">
        <v>354</v>
      </c>
      <c r="B102" s="324"/>
      <c r="C102" s="324"/>
    </row>
    <row r="103" spans="1:4" x14ac:dyDescent="0.25">
      <c r="A103" t="s">
        <v>118</v>
      </c>
      <c r="B103" t="s">
        <v>351</v>
      </c>
      <c r="C103" s="1">
        <v>1</v>
      </c>
    </row>
    <row r="104" spans="1:4" x14ac:dyDescent="0.25">
      <c r="A104" t="s">
        <v>118</v>
      </c>
      <c r="B104" t="s">
        <v>352</v>
      </c>
      <c r="C104" s="1">
        <v>0</v>
      </c>
    </row>
    <row r="106" spans="1:4" x14ac:dyDescent="0.25">
      <c r="A106" s="324" t="s">
        <v>358</v>
      </c>
      <c r="B106" s="324"/>
      <c r="C106" s="324"/>
    </row>
    <row r="107" spans="1:4" x14ac:dyDescent="0.25">
      <c r="A107" t="s">
        <v>118</v>
      </c>
      <c r="B107" t="s">
        <v>355</v>
      </c>
      <c r="C107" s="1">
        <v>1</v>
      </c>
    </row>
    <row r="108" spans="1:4" x14ac:dyDescent="0.25">
      <c r="A108" t="s">
        <v>118</v>
      </c>
      <c r="B108" t="s">
        <v>356</v>
      </c>
      <c r="C108" s="1">
        <v>2</v>
      </c>
    </row>
    <row r="109" spans="1:4" x14ac:dyDescent="0.25">
      <c r="A109" t="s">
        <v>118</v>
      </c>
      <c r="B109" t="s">
        <v>357</v>
      </c>
      <c r="C109" s="1">
        <v>3</v>
      </c>
    </row>
    <row r="111" spans="1:4" x14ac:dyDescent="0.25">
      <c r="A111" s="324" t="s">
        <v>475</v>
      </c>
      <c r="B111" s="324"/>
      <c r="C111" s="324"/>
    </row>
    <row r="112" spans="1:4" x14ac:dyDescent="0.25">
      <c r="A112" t="s">
        <v>118</v>
      </c>
      <c r="B112" t="s">
        <v>476</v>
      </c>
      <c r="C112" s="1" t="s">
        <v>477</v>
      </c>
      <c r="D112" t="s">
        <v>478</v>
      </c>
    </row>
  </sheetData>
  <mergeCells count="19">
    <mergeCell ref="A10:C10"/>
    <mergeCell ref="A111:C111"/>
    <mergeCell ref="A50:C50"/>
    <mergeCell ref="A23:C23"/>
    <mergeCell ref="A63:C63"/>
    <mergeCell ref="A13:C13"/>
    <mergeCell ref="A17:C17"/>
    <mergeCell ref="A32:C32"/>
    <mergeCell ref="A36:C36"/>
    <mergeCell ref="A42:C42"/>
    <mergeCell ref="A27:C27"/>
    <mergeCell ref="A102:C102"/>
    <mergeCell ref="A106:C106"/>
    <mergeCell ref="A54:C54"/>
    <mergeCell ref="A66:C66"/>
    <mergeCell ref="A70:C70"/>
    <mergeCell ref="A74:C74"/>
    <mergeCell ref="A89:C89"/>
    <mergeCell ref="A98:C9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96870-C5F9-44D2-8EC9-C0F88164F8F1}">
  <sheetPr codeName="Sheet5"/>
  <dimension ref="A1:C38"/>
  <sheetViews>
    <sheetView topLeftCell="A28" workbookViewId="0">
      <selection activeCell="G10" sqref="G10"/>
    </sheetView>
  </sheetViews>
  <sheetFormatPr defaultRowHeight="15" x14ac:dyDescent="0.25"/>
  <cols>
    <col min="2" max="2" width="26.7109375" bestFit="1" customWidth="1"/>
    <col min="3" max="3" width="42.140625" bestFit="1" customWidth="1"/>
  </cols>
  <sheetData>
    <row r="1" spans="1:3" x14ac:dyDescent="0.25">
      <c r="A1" s="324" t="s">
        <v>379</v>
      </c>
      <c r="B1" s="324"/>
      <c r="C1" s="324"/>
    </row>
    <row r="2" spans="1:3" x14ac:dyDescent="0.25">
      <c r="A2" t="s">
        <v>118</v>
      </c>
      <c r="B2" t="s">
        <v>363</v>
      </c>
      <c r="C2" t="s">
        <v>367</v>
      </c>
    </row>
    <row r="3" spans="1:3" x14ac:dyDescent="0.25">
      <c r="A3" t="s">
        <v>118</v>
      </c>
      <c r="B3" t="s">
        <v>364</v>
      </c>
      <c r="C3" t="s">
        <v>368</v>
      </c>
    </row>
    <row r="4" spans="1:3" x14ac:dyDescent="0.25">
      <c r="A4" t="s">
        <v>118</v>
      </c>
      <c r="B4" t="s">
        <v>365</v>
      </c>
      <c r="C4" t="s">
        <v>369</v>
      </c>
    </row>
    <row r="5" spans="1:3" x14ac:dyDescent="0.25">
      <c r="A5" t="s">
        <v>118</v>
      </c>
      <c r="B5" t="s">
        <v>366</v>
      </c>
      <c r="C5" t="s">
        <v>370</v>
      </c>
    </row>
    <row r="6" spans="1:3" x14ac:dyDescent="0.25">
      <c r="A6" t="s">
        <v>118</v>
      </c>
      <c r="B6" t="s">
        <v>371</v>
      </c>
      <c r="C6" t="s">
        <v>372</v>
      </c>
    </row>
    <row r="7" spans="1:3" x14ac:dyDescent="0.25">
      <c r="A7" t="s">
        <v>118</v>
      </c>
      <c r="B7" t="s">
        <v>373</v>
      </c>
      <c r="C7" t="s">
        <v>375</v>
      </c>
    </row>
    <row r="8" spans="1:3" x14ac:dyDescent="0.25">
      <c r="A8" t="s">
        <v>118</v>
      </c>
      <c r="B8" t="s">
        <v>374</v>
      </c>
      <c r="C8" t="s">
        <v>376</v>
      </c>
    </row>
    <row r="9" spans="1:3" x14ac:dyDescent="0.25">
      <c r="A9" t="s">
        <v>118</v>
      </c>
      <c r="B9" t="s">
        <v>377</v>
      </c>
      <c r="C9" t="s">
        <v>378</v>
      </c>
    </row>
    <row r="11" spans="1:3" x14ac:dyDescent="0.25">
      <c r="A11" s="324" t="s">
        <v>380</v>
      </c>
      <c r="B11" s="324"/>
      <c r="C11" s="324"/>
    </row>
    <row r="12" spans="1:3" x14ac:dyDescent="0.25">
      <c r="A12" t="s">
        <v>118</v>
      </c>
      <c r="B12" t="s">
        <v>381</v>
      </c>
      <c r="C12" t="s">
        <v>384</v>
      </c>
    </row>
    <row r="13" spans="1:3" x14ac:dyDescent="0.25">
      <c r="A13" t="s">
        <v>118</v>
      </c>
      <c r="B13" t="s">
        <v>382</v>
      </c>
      <c r="C13" t="s">
        <v>383</v>
      </c>
    </row>
    <row r="14" spans="1:3" x14ac:dyDescent="0.25">
      <c r="A14" t="s">
        <v>118</v>
      </c>
      <c r="B14" t="s">
        <v>389</v>
      </c>
      <c r="C14" t="s">
        <v>395</v>
      </c>
    </row>
    <row r="15" spans="1:3" x14ac:dyDescent="0.25">
      <c r="A15" t="s">
        <v>118</v>
      </c>
      <c r="B15" t="s">
        <v>390</v>
      </c>
      <c r="C15" t="s">
        <v>383</v>
      </c>
    </row>
    <row r="16" spans="1:3" x14ac:dyDescent="0.25">
      <c r="A16" t="s">
        <v>118</v>
      </c>
      <c r="B16" t="s">
        <v>385</v>
      </c>
      <c r="C16" t="s">
        <v>396</v>
      </c>
    </row>
    <row r="17" spans="1:3" x14ac:dyDescent="0.25">
      <c r="A17" t="s">
        <v>118</v>
      </c>
      <c r="B17" t="s">
        <v>386</v>
      </c>
      <c r="C17" t="s">
        <v>383</v>
      </c>
    </row>
    <row r="18" spans="1:3" x14ac:dyDescent="0.25">
      <c r="A18" t="s">
        <v>118</v>
      </c>
      <c r="B18" t="s">
        <v>387</v>
      </c>
      <c r="C18" t="s">
        <v>397</v>
      </c>
    </row>
    <row r="19" spans="1:3" x14ac:dyDescent="0.25">
      <c r="A19" t="s">
        <v>118</v>
      </c>
      <c r="B19" t="s">
        <v>388</v>
      </c>
      <c r="C19" t="s">
        <v>383</v>
      </c>
    </row>
    <row r="20" spans="1:3" x14ac:dyDescent="0.25">
      <c r="A20" t="s">
        <v>118</v>
      </c>
      <c r="B20" t="s">
        <v>391</v>
      </c>
      <c r="C20" t="s">
        <v>398</v>
      </c>
    </row>
    <row r="21" spans="1:3" x14ac:dyDescent="0.25">
      <c r="A21" t="s">
        <v>118</v>
      </c>
      <c r="B21" t="s">
        <v>392</v>
      </c>
      <c r="C21" t="s">
        <v>383</v>
      </c>
    </row>
    <row r="22" spans="1:3" x14ac:dyDescent="0.25">
      <c r="A22" t="s">
        <v>118</v>
      </c>
      <c r="B22" t="s">
        <v>393</v>
      </c>
      <c r="C22" t="s">
        <v>399</v>
      </c>
    </row>
    <row r="23" spans="1:3" x14ac:dyDescent="0.25">
      <c r="A23" t="s">
        <v>118</v>
      </c>
      <c r="B23" t="s">
        <v>394</v>
      </c>
      <c r="C23" t="s">
        <v>383</v>
      </c>
    </row>
    <row r="25" spans="1:3" x14ac:dyDescent="0.25">
      <c r="A25" t="s">
        <v>118</v>
      </c>
      <c r="B25" t="s">
        <v>266</v>
      </c>
      <c r="C25" s="6" t="s">
        <v>275</v>
      </c>
    </row>
    <row r="26" spans="1:3" x14ac:dyDescent="0.25">
      <c r="A26" t="s">
        <v>118</v>
      </c>
      <c r="B26" t="s">
        <v>267</v>
      </c>
      <c r="C26" s="6">
        <v>0</v>
      </c>
    </row>
    <row r="27" spans="1:3" x14ac:dyDescent="0.25">
      <c r="C27" s="6"/>
    </row>
    <row r="28" spans="1:3" x14ac:dyDescent="0.25">
      <c r="A28" t="s">
        <v>118</v>
      </c>
      <c r="B28" t="s">
        <v>268</v>
      </c>
      <c r="C28" s="6" t="s">
        <v>276</v>
      </c>
    </row>
    <row r="29" spans="1:3" x14ac:dyDescent="0.25">
      <c r="A29" t="s">
        <v>118</v>
      </c>
      <c r="B29" t="s">
        <v>269</v>
      </c>
      <c r="C29" s="6">
        <v>1</v>
      </c>
    </row>
    <row r="30" spans="1:3" x14ac:dyDescent="0.25">
      <c r="C30" s="6"/>
    </row>
    <row r="31" spans="1:3" x14ac:dyDescent="0.25">
      <c r="A31" t="s">
        <v>118</v>
      </c>
      <c r="B31" t="s">
        <v>270</v>
      </c>
      <c r="C31" s="6" t="s">
        <v>277</v>
      </c>
    </row>
    <row r="32" spans="1:3" x14ac:dyDescent="0.25">
      <c r="A32" t="s">
        <v>118</v>
      </c>
      <c r="B32" t="s">
        <v>271</v>
      </c>
      <c r="C32" s="6">
        <v>2</v>
      </c>
    </row>
    <row r="33" spans="1:3" x14ac:dyDescent="0.25">
      <c r="C33" s="6"/>
    </row>
    <row r="34" spans="1:3" x14ac:dyDescent="0.25">
      <c r="A34" t="s">
        <v>118</v>
      </c>
      <c r="B34" t="s">
        <v>272</v>
      </c>
      <c r="C34" s="6" t="s">
        <v>278</v>
      </c>
    </row>
    <row r="35" spans="1:3" x14ac:dyDescent="0.25">
      <c r="A35" t="s">
        <v>118</v>
      </c>
      <c r="B35" t="s">
        <v>273</v>
      </c>
      <c r="C35" s="6">
        <v>0</v>
      </c>
    </row>
    <row r="36" spans="1:3" x14ac:dyDescent="0.25">
      <c r="C36" s="6"/>
    </row>
    <row r="37" spans="1:3" x14ac:dyDescent="0.25">
      <c r="A37" t="s">
        <v>118</v>
      </c>
      <c r="B37" t="s">
        <v>274</v>
      </c>
      <c r="C37" s="6" t="s">
        <v>279</v>
      </c>
    </row>
    <row r="38" spans="1:3" x14ac:dyDescent="0.25">
      <c r="A38" t="s">
        <v>118</v>
      </c>
      <c r="B38" t="s">
        <v>274</v>
      </c>
      <c r="C38" s="6">
        <v>3</v>
      </c>
    </row>
  </sheetData>
  <mergeCells count="2">
    <mergeCell ref="A1:C1"/>
    <mergeCell ref="A11:C1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92306-D654-4708-B38F-F593416EB98A}">
  <sheetPr codeName="Sheet2"/>
  <dimension ref="A1:J257"/>
  <sheetViews>
    <sheetView topLeftCell="A7" workbookViewId="0">
      <selection activeCell="A26" sqref="A26"/>
    </sheetView>
  </sheetViews>
  <sheetFormatPr defaultRowHeight="15" x14ac:dyDescent="0.25"/>
  <cols>
    <col min="1" max="1" width="22.28515625" bestFit="1" customWidth="1"/>
    <col min="2" max="2" width="33.85546875" bestFit="1" customWidth="1"/>
    <col min="3" max="6" width="15.42578125" bestFit="1" customWidth="1"/>
    <col min="7" max="7" width="11.28515625" bestFit="1" customWidth="1"/>
    <col min="9" max="9" width="15.85546875" style="1" bestFit="1" customWidth="1"/>
    <col min="10" max="10" width="13.140625" style="1" bestFit="1" customWidth="1"/>
  </cols>
  <sheetData>
    <row r="1" spans="1:10" ht="15.75" thickBot="1" x14ac:dyDescent="0.3">
      <c r="A1" s="123" t="s">
        <v>1726</v>
      </c>
      <c r="B1" s="123" t="s">
        <v>1733</v>
      </c>
      <c r="C1" s="124" t="s">
        <v>1734</v>
      </c>
      <c r="D1" s="124" t="s">
        <v>1735</v>
      </c>
      <c r="E1" s="124" t="s">
        <v>1736</v>
      </c>
      <c r="F1" s="124" t="s">
        <v>1737</v>
      </c>
      <c r="G1" s="124" t="s">
        <v>1738</v>
      </c>
      <c r="I1" s="176" t="s">
        <v>1755</v>
      </c>
      <c r="J1" s="177" t="s">
        <v>1756</v>
      </c>
    </row>
    <row r="2" spans="1:10" x14ac:dyDescent="0.25">
      <c r="A2" s="125" t="s">
        <v>519</v>
      </c>
      <c r="B2" s="128" t="s">
        <v>518</v>
      </c>
      <c r="C2" s="128" t="s">
        <v>520</v>
      </c>
      <c r="D2" s="125" t="s">
        <v>521</v>
      </c>
      <c r="E2" s="125" t="s">
        <v>522</v>
      </c>
      <c r="F2" s="128" t="s">
        <v>523</v>
      </c>
      <c r="G2" s="125" t="s">
        <v>524</v>
      </c>
      <c r="I2" s="178">
        <v>4</v>
      </c>
      <c r="J2" s="65" t="s">
        <v>1757</v>
      </c>
    </row>
    <row r="3" spans="1:10" x14ac:dyDescent="0.25">
      <c r="A3" s="126" t="s">
        <v>526</v>
      </c>
      <c r="B3" s="129" t="s">
        <v>525</v>
      </c>
      <c r="C3" s="129" t="s">
        <v>527</v>
      </c>
      <c r="D3" s="126" t="s">
        <v>528</v>
      </c>
      <c r="E3" s="126" t="s">
        <v>529</v>
      </c>
      <c r="F3" s="129" t="s">
        <v>530</v>
      </c>
      <c r="G3" s="126" t="s">
        <v>531</v>
      </c>
      <c r="I3" s="179">
        <v>8</v>
      </c>
      <c r="J3" s="66" t="s">
        <v>1758</v>
      </c>
    </row>
    <row r="4" spans="1:10" x14ac:dyDescent="0.25">
      <c r="A4" s="126" t="s">
        <v>533</v>
      </c>
      <c r="B4" s="129" t="s">
        <v>532</v>
      </c>
      <c r="C4" s="129" t="s">
        <v>534</v>
      </c>
      <c r="D4" s="126" t="s">
        <v>535</v>
      </c>
      <c r="E4" s="126" t="s">
        <v>536</v>
      </c>
      <c r="F4" s="129" t="s">
        <v>537</v>
      </c>
      <c r="G4" s="126" t="s">
        <v>538</v>
      </c>
      <c r="I4" s="179">
        <v>12</v>
      </c>
      <c r="J4" s="66" t="s">
        <v>1759</v>
      </c>
    </row>
    <row r="5" spans="1:10" x14ac:dyDescent="0.25">
      <c r="A5" s="126" t="s">
        <v>540</v>
      </c>
      <c r="B5" s="129" t="s">
        <v>539</v>
      </c>
      <c r="C5" s="129" t="s">
        <v>541</v>
      </c>
      <c r="D5" s="126" t="s">
        <v>542</v>
      </c>
      <c r="E5" s="126" t="s">
        <v>543</v>
      </c>
      <c r="F5" s="129" t="s">
        <v>544</v>
      </c>
      <c r="G5" s="126" t="s">
        <v>545</v>
      </c>
      <c r="I5" s="179">
        <v>16</v>
      </c>
      <c r="J5" s="66" t="s">
        <v>1760</v>
      </c>
    </row>
    <row r="6" spans="1:10" x14ac:dyDescent="0.25">
      <c r="A6" s="126" t="s">
        <v>547</v>
      </c>
      <c r="B6" s="129" t="s">
        <v>546</v>
      </c>
      <c r="C6" s="129" t="s">
        <v>548</v>
      </c>
      <c r="D6" s="126" t="s">
        <v>549</v>
      </c>
      <c r="E6" s="126" t="s">
        <v>550</v>
      </c>
      <c r="F6" s="129" t="s">
        <v>551</v>
      </c>
      <c r="G6" s="126" t="s">
        <v>552</v>
      </c>
      <c r="I6" s="179">
        <v>20</v>
      </c>
      <c r="J6" s="66" t="s">
        <v>1761</v>
      </c>
    </row>
    <row r="7" spans="1:10" x14ac:dyDescent="0.25">
      <c r="A7" s="126" t="s">
        <v>554</v>
      </c>
      <c r="B7" s="129" t="s">
        <v>553</v>
      </c>
      <c r="C7" s="129" t="s">
        <v>555</v>
      </c>
      <c r="D7" s="126" t="s">
        <v>556</v>
      </c>
      <c r="E7" s="126" t="s">
        <v>557</v>
      </c>
      <c r="F7" s="129" t="s">
        <v>558</v>
      </c>
      <c r="G7" s="126" t="s">
        <v>559</v>
      </c>
      <c r="I7" s="179">
        <v>24</v>
      </c>
      <c r="J7" s="66" t="s">
        <v>1762</v>
      </c>
    </row>
    <row r="8" spans="1:10" x14ac:dyDescent="0.25">
      <c r="A8" s="126" t="s">
        <v>561</v>
      </c>
      <c r="B8" s="129" t="s">
        <v>560</v>
      </c>
      <c r="C8" s="129" t="s">
        <v>562</v>
      </c>
      <c r="D8" s="126" t="s">
        <v>563</v>
      </c>
      <c r="E8" s="126" t="s">
        <v>564</v>
      </c>
      <c r="F8" s="129" t="s">
        <v>565</v>
      </c>
      <c r="G8" s="126" t="s">
        <v>566</v>
      </c>
      <c r="I8" s="179">
        <v>32</v>
      </c>
      <c r="J8" s="66" t="s">
        <v>1763</v>
      </c>
    </row>
    <row r="9" spans="1:10" ht="15.75" thickBot="1" x14ac:dyDescent="0.3">
      <c r="A9" s="126" t="s">
        <v>568</v>
      </c>
      <c r="B9" s="129" t="s">
        <v>567</v>
      </c>
      <c r="C9" s="129" t="s">
        <v>569</v>
      </c>
      <c r="D9" s="126" t="s">
        <v>570</v>
      </c>
      <c r="E9" s="126" t="s">
        <v>571</v>
      </c>
      <c r="F9" s="129" t="s">
        <v>572</v>
      </c>
      <c r="G9" s="126" t="s">
        <v>573</v>
      </c>
      <c r="I9" s="180">
        <v>64</v>
      </c>
      <c r="J9" s="67" t="s">
        <v>1764</v>
      </c>
    </row>
    <row r="10" spans="1:10" x14ac:dyDescent="0.25">
      <c r="A10" s="126" t="s">
        <v>575</v>
      </c>
      <c r="B10" s="129" t="s">
        <v>574</v>
      </c>
      <c r="C10" s="129" t="s">
        <v>576</v>
      </c>
      <c r="D10" s="126" t="s">
        <v>577</v>
      </c>
      <c r="E10" s="126" t="s">
        <v>578</v>
      </c>
      <c r="F10" s="129" t="s">
        <v>579</v>
      </c>
      <c r="G10" s="126" t="s">
        <v>580</v>
      </c>
    </row>
    <row r="11" spans="1:10" x14ac:dyDescent="0.25">
      <c r="A11" s="126" t="s">
        <v>582</v>
      </c>
      <c r="B11" s="129" t="s">
        <v>581</v>
      </c>
      <c r="C11" s="129" t="s">
        <v>583</v>
      </c>
      <c r="D11" s="126" t="s">
        <v>584</v>
      </c>
      <c r="E11" s="126" t="s">
        <v>585</v>
      </c>
      <c r="F11" s="129" t="s">
        <v>586</v>
      </c>
      <c r="G11" s="126" t="s">
        <v>587</v>
      </c>
    </row>
    <row r="12" spans="1:10" x14ac:dyDescent="0.25">
      <c r="A12" s="126" t="s">
        <v>589</v>
      </c>
      <c r="B12" s="129" t="s">
        <v>588</v>
      </c>
      <c r="C12" s="129" t="s">
        <v>590</v>
      </c>
      <c r="D12" s="126" t="s">
        <v>591</v>
      </c>
      <c r="E12" s="126" t="s">
        <v>592</v>
      </c>
      <c r="F12" s="129" t="s">
        <v>593</v>
      </c>
      <c r="G12" s="126" t="s">
        <v>594</v>
      </c>
    </row>
    <row r="13" spans="1:10" x14ac:dyDescent="0.25">
      <c r="A13" s="126" t="s">
        <v>596</v>
      </c>
      <c r="B13" s="129" t="s">
        <v>595</v>
      </c>
      <c r="C13" s="129" t="s">
        <v>597</v>
      </c>
      <c r="D13" s="126" t="s">
        <v>598</v>
      </c>
      <c r="E13" s="126" t="s">
        <v>599</v>
      </c>
      <c r="F13" s="129" t="s">
        <v>600</v>
      </c>
      <c r="G13" s="126" t="s">
        <v>601</v>
      </c>
    </row>
    <row r="14" spans="1:10" x14ac:dyDescent="0.25">
      <c r="A14" s="126" t="s">
        <v>603</v>
      </c>
      <c r="B14" s="129" t="s">
        <v>602</v>
      </c>
      <c r="C14" s="129" t="s">
        <v>604</v>
      </c>
      <c r="D14" s="126" t="s">
        <v>605</v>
      </c>
      <c r="E14" s="126" t="s">
        <v>606</v>
      </c>
      <c r="F14" s="129" t="s">
        <v>607</v>
      </c>
      <c r="G14" s="126" t="s">
        <v>608</v>
      </c>
    </row>
    <row r="15" spans="1:10" x14ac:dyDescent="0.25">
      <c r="A15" s="126" t="s">
        <v>610</v>
      </c>
      <c r="B15" s="129" t="s">
        <v>609</v>
      </c>
      <c r="C15" s="129" t="s">
        <v>611</v>
      </c>
      <c r="D15" s="126" t="s">
        <v>612</v>
      </c>
      <c r="E15" s="126" t="s">
        <v>613</v>
      </c>
      <c r="F15" s="129" t="s">
        <v>614</v>
      </c>
      <c r="G15" s="126" t="s">
        <v>615</v>
      </c>
    </row>
    <row r="16" spans="1:10" x14ac:dyDescent="0.25">
      <c r="A16" s="126" t="s">
        <v>617</v>
      </c>
      <c r="B16" s="129" t="s">
        <v>616</v>
      </c>
      <c r="C16" s="129" t="s">
        <v>618</v>
      </c>
      <c r="D16" s="126" t="s">
        <v>619</v>
      </c>
      <c r="E16" s="126" t="s">
        <v>620</v>
      </c>
      <c r="F16" s="129" t="s">
        <v>621</v>
      </c>
      <c r="G16" s="126" t="s">
        <v>622</v>
      </c>
    </row>
    <row r="17" spans="1:7" ht="15.75" thickBot="1" x14ac:dyDescent="0.3">
      <c r="A17" s="127" t="s">
        <v>624</v>
      </c>
      <c r="B17" s="130" t="s">
        <v>623</v>
      </c>
      <c r="C17" s="129" t="s">
        <v>625</v>
      </c>
      <c r="D17" s="126" t="s">
        <v>626</v>
      </c>
      <c r="E17" s="126" t="s">
        <v>627</v>
      </c>
      <c r="F17" s="129" t="s">
        <v>628</v>
      </c>
      <c r="G17" s="126" t="s">
        <v>629</v>
      </c>
    </row>
    <row r="18" spans="1:7" ht="15.75" thickBot="1" x14ac:dyDescent="0.3">
      <c r="C18" s="129" t="s">
        <v>630</v>
      </c>
      <c r="D18" s="126" t="s">
        <v>631</v>
      </c>
      <c r="E18" s="126" t="s">
        <v>632</v>
      </c>
      <c r="F18" s="129" t="s">
        <v>633</v>
      </c>
      <c r="G18" s="126" t="s">
        <v>634</v>
      </c>
    </row>
    <row r="19" spans="1:7" ht="15.75" thickBot="1" x14ac:dyDescent="0.3">
      <c r="A19" s="123" t="s">
        <v>1890</v>
      </c>
      <c r="C19" s="129" t="s">
        <v>635</v>
      </c>
      <c r="D19" s="126" t="s">
        <v>636</v>
      </c>
      <c r="E19" s="126" t="s">
        <v>637</v>
      </c>
      <c r="F19" s="129" t="s">
        <v>638</v>
      </c>
      <c r="G19" s="126" t="s">
        <v>639</v>
      </c>
    </row>
    <row r="20" spans="1:7" x14ac:dyDescent="0.25">
      <c r="A20" t="s">
        <v>1891</v>
      </c>
      <c r="C20" s="129" t="s">
        <v>640</v>
      </c>
      <c r="D20" s="126" t="s">
        <v>641</v>
      </c>
      <c r="E20" s="126" t="s">
        <v>642</v>
      </c>
      <c r="F20" s="129" t="s">
        <v>643</v>
      </c>
      <c r="G20" s="126" t="s">
        <v>644</v>
      </c>
    </row>
    <row r="21" spans="1:7" x14ac:dyDescent="0.25">
      <c r="A21" t="s">
        <v>1892</v>
      </c>
      <c r="C21" s="129" t="s">
        <v>645</v>
      </c>
      <c r="D21" s="126" t="s">
        <v>646</v>
      </c>
      <c r="E21" s="126" t="s">
        <v>647</v>
      </c>
      <c r="F21" s="129" t="s">
        <v>648</v>
      </c>
      <c r="G21" s="126" t="s">
        <v>649</v>
      </c>
    </row>
    <row r="22" spans="1:7" x14ac:dyDescent="0.25">
      <c r="A22" t="s">
        <v>1893</v>
      </c>
      <c r="C22" s="129" t="s">
        <v>650</v>
      </c>
      <c r="D22" s="126" t="s">
        <v>651</v>
      </c>
      <c r="E22" s="126" t="s">
        <v>652</v>
      </c>
      <c r="F22" s="129" t="s">
        <v>653</v>
      </c>
      <c r="G22" s="126" t="s">
        <v>654</v>
      </c>
    </row>
    <row r="23" spans="1:7" x14ac:dyDescent="0.25">
      <c r="A23" t="s">
        <v>1894</v>
      </c>
      <c r="C23" s="129" t="s">
        <v>655</v>
      </c>
      <c r="D23" s="126" t="s">
        <v>656</v>
      </c>
      <c r="E23" s="126" t="s">
        <v>657</v>
      </c>
      <c r="F23" s="129" t="s">
        <v>658</v>
      </c>
      <c r="G23" s="126" t="s">
        <v>659</v>
      </c>
    </row>
    <row r="24" spans="1:7" ht="15.75" thickBot="1" x14ac:dyDescent="0.3">
      <c r="C24" s="129" t="s">
        <v>660</v>
      </c>
      <c r="D24" s="126" t="s">
        <v>661</v>
      </c>
      <c r="E24" s="126" t="s">
        <v>662</v>
      </c>
      <c r="F24" s="129" t="s">
        <v>663</v>
      </c>
      <c r="G24" s="126" t="s">
        <v>664</v>
      </c>
    </row>
    <row r="25" spans="1:7" ht="15.75" thickBot="1" x14ac:dyDescent="0.3">
      <c r="A25" s="123" t="s">
        <v>1901</v>
      </c>
      <c r="C25" s="129" t="s">
        <v>665</v>
      </c>
      <c r="D25" s="126" t="s">
        <v>666</v>
      </c>
      <c r="E25" s="126" t="s">
        <v>667</v>
      </c>
      <c r="F25" s="129" t="s">
        <v>668</v>
      </c>
      <c r="G25" s="126" t="s">
        <v>669</v>
      </c>
    </row>
    <row r="26" spans="1:7" x14ac:dyDescent="0.25">
      <c r="A26" t="s">
        <v>1899</v>
      </c>
      <c r="C26" s="129" t="s">
        <v>670</v>
      </c>
      <c r="D26" s="126" t="s">
        <v>671</v>
      </c>
      <c r="E26" s="126" t="s">
        <v>672</v>
      </c>
      <c r="F26" s="129" t="s">
        <v>673</v>
      </c>
      <c r="G26" s="126" t="s">
        <v>674</v>
      </c>
    </row>
    <row r="27" spans="1:7" x14ac:dyDescent="0.25">
      <c r="A27" t="s">
        <v>1900</v>
      </c>
      <c r="C27" s="129" t="s">
        <v>675</v>
      </c>
      <c r="D27" s="126" t="s">
        <v>676</v>
      </c>
      <c r="E27" s="126" t="s">
        <v>677</v>
      </c>
      <c r="F27" s="129" t="s">
        <v>678</v>
      </c>
      <c r="G27" s="126" t="s">
        <v>679</v>
      </c>
    </row>
    <row r="28" spans="1:7" x14ac:dyDescent="0.25">
      <c r="C28" s="129" t="s">
        <v>680</v>
      </c>
      <c r="D28" s="126" t="s">
        <v>681</v>
      </c>
      <c r="E28" s="126" t="s">
        <v>682</v>
      </c>
      <c r="F28" s="129" t="s">
        <v>683</v>
      </c>
      <c r="G28" s="126" t="s">
        <v>684</v>
      </c>
    </row>
    <row r="29" spans="1:7" x14ac:dyDescent="0.25">
      <c r="C29" s="129" t="s">
        <v>685</v>
      </c>
      <c r="D29" s="126" t="s">
        <v>686</v>
      </c>
      <c r="E29" s="126" t="s">
        <v>687</v>
      </c>
      <c r="F29" s="129" t="s">
        <v>688</v>
      </c>
      <c r="G29" s="126" t="s">
        <v>689</v>
      </c>
    </row>
    <row r="30" spans="1:7" x14ac:dyDescent="0.25">
      <c r="C30" s="129" t="s">
        <v>690</v>
      </c>
      <c r="D30" s="126" t="s">
        <v>691</v>
      </c>
      <c r="E30" s="126" t="s">
        <v>692</v>
      </c>
      <c r="F30" s="129" t="s">
        <v>693</v>
      </c>
      <c r="G30" s="126" t="s">
        <v>694</v>
      </c>
    </row>
    <row r="31" spans="1:7" x14ac:dyDescent="0.25">
      <c r="C31" s="129" t="s">
        <v>695</v>
      </c>
      <c r="D31" s="126" t="s">
        <v>696</v>
      </c>
      <c r="E31" s="126" t="s">
        <v>697</v>
      </c>
      <c r="F31" s="129" t="s">
        <v>698</v>
      </c>
      <c r="G31" s="126" t="s">
        <v>699</v>
      </c>
    </row>
    <row r="32" spans="1:7" x14ac:dyDescent="0.25">
      <c r="C32" s="129" t="s">
        <v>700</v>
      </c>
      <c r="D32" s="126" t="s">
        <v>701</v>
      </c>
      <c r="E32" s="126" t="s">
        <v>702</v>
      </c>
      <c r="F32" s="129" t="s">
        <v>703</v>
      </c>
      <c r="G32" s="126" t="s">
        <v>704</v>
      </c>
    </row>
    <row r="33" spans="3:7" x14ac:dyDescent="0.25">
      <c r="C33" s="129" t="s">
        <v>705</v>
      </c>
      <c r="D33" s="126" t="s">
        <v>706</v>
      </c>
      <c r="E33" s="126" t="s">
        <v>707</v>
      </c>
      <c r="F33" s="129" t="s">
        <v>708</v>
      </c>
      <c r="G33" s="126" t="s">
        <v>709</v>
      </c>
    </row>
    <row r="34" spans="3:7" x14ac:dyDescent="0.25">
      <c r="C34" s="129" t="s">
        <v>710</v>
      </c>
      <c r="D34" s="126" t="s">
        <v>711</v>
      </c>
      <c r="E34" s="126" t="s">
        <v>712</v>
      </c>
      <c r="F34" s="129" t="s">
        <v>713</v>
      </c>
      <c r="G34" s="126" t="s">
        <v>714</v>
      </c>
    </row>
    <row r="35" spans="3:7" x14ac:dyDescent="0.25">
      <c r="C35" s="129" t="s">
        <v>715</v>
      </c>
      <c r="D35" s="126" t="s">
        <v>716</v>
      </c>
      <c r="E35" s="126" t="s">
        <v>717</v>
      </c>
      <c r="F35" s="129" t="s">
        <v>718</v>
      </c>
      <c r="G35" s="126" t="s">
        <v>719</v>
      </c>
    </row>
    <row r="36" spans="3:7" x14ac:dyDescent="0.25">
      <c r="C36" s="129" t="s">
        <v>720</v>
      </c>
      <c r="D36" s="126" t="s">
        <v>721</v>
      </c>
      <c r="E36" s="126" t="s">
        <v>722</v>
      </c>
      <c r="F36" s="129" t="s">
        <v>723</v>
      </c>
      <c r="G36" s="126" t="s">
        <v>724</v>
      </c>
    </row>
    <row r="37" spans="3:7" x14ac:dyDescent="0.25">
      <c r="C37" s="129" t="s">
        <v>725</v>
      </c>
      <c r="D37" s="126" t="s">
        <v>726</v>
      </c>
      <c r="E37" s="126" t="s">
        <v>727</v>
      </c>
      <c r="F37" s="129" t="s">
        <v>728</v>
      </c>
      <c r="G37" s="126" t="s">
        <v>729</v>
      </c>
    </row>
    <row r="38" spans="3:7" x14ac:dyDescent="0.25">
      <c r="C38" s="129" t="s">
        <v>730</v>
      </c>
      <c r="D38" s="126" t="s">
        <v>731</v>
      </c>
      <c r="E38" s="126" t="s">
        <v>732</v>
      </c>
      <c r="F38" s="129" t="s">
        <v>733</v>
      </c>
      <c r="G38" s="126" t="s">
        <v>734</v>
      </c>
    </row>
    <row r="39" spans="3:7" x14ac:dyDescent="0.25">
      <c r="C39" s="129" t="s">
        <v>735</v>
      </c>
      <c r="D39" s="126" t="s">
        <v>736</v>
      </c>
      <c r="E39" s="126" t="s">
        <v>737</v>
      </c>
      <c r="F39" s="129" t="s">
        <v>738</v>
      </c>
      <c r="G39" s="126" t="s">
        <v>739</v>
      </c>
    </row>
    <row r="40" spans="3:7" x14ac:dyDescent="0.25">
      <c r="C40" s="129" t="s">
        <v>740</v>
      </c>
      <c r="D40" s="126" t="s">
        <v>741</v>
      </c>
      <c r="E40" s="126" t="s">
        <v>742</v>
      </c>
      <c r="F40" s="129" t="s">
        <v>743</v>
      </c>
      <c r="G40" s="126" t="s">
        <v>744</v>
      </c>
    </row>
    <row r="41" spans="3:7" x14ac:dyDescent="0.25">
      <c r="C41" s="129" t="s">
        <v>745</v>
      </c>
      <c r="D41" s="126" t="s">
        <v>746</v>
      </c>
      <c r="E41" s="126" t="s">
        <v>747</v>
      </c>
      <c r="F41" s="129" t="s">
        <v>748</v>
      </c>
      <c r="G41" s="126" t="s">
        <v>749</v>
      </c>
    </row>
    <row r="42" spans="3:7" x14ac:dyDescent="0.25">
      <c r="C42" s="129" t="s">
        <v>750</v>
      </c>
      <c r="D42" s="126" t="s">
        <v>751</v>
      </c>
      <c r="E42" s="126" t="s">
        <v>752</v>
      </c>
      <c r="F42" s="129" t="s">
        <v>753</v>
      </c>
      <c r="G42" s="126" t="s">
        <v>754</v>
      </c>
    </row>
    <row r="43" spans="3:7" x14ac:dyDescent="0.25">
      <c r="C43" s="129" t="s">
        <v>755</v>
      </c>
      <c r="D43" s="126" t="s">
        <v>756</v>
      </c>
      <c r="E43" s="126" t="s">
        <v>757</v>
      </c>
      <c r="F43" s="129" t="s">
        <v>758</v>
      </c>
      <c r="G43" s="126" t="s">
        <v>759</v>
      </c>
    </row>
    <row r="44" spans="3:7" x14ac:dyDescent="0.25">
      <c r="C44" s="129" t="s">
        <v>760</v>
      </c>
      <c r="D44" s="126" t="s">
        <v>761</v>
      </c>
      <c r="E44" s="126" t="s">
        <v>762</v>
      </c>
      <c r="F44" s="129" t="s">
        <v>763</v>
      </c>
      <c r="G44" s="126" t="s">
        <v>764</v>
      </c>
    </row>
    <row r="45" spans="3:7" x14ac:dyDescent="0.25">
      <c r="C45" s="129" t="s">
        <v>765</v>
      </c>
      <c r="D45" s="126" t="s">
        <v>766</v>
      </c>
      <c r="E45" s="126" t="s">
        <v>767</v>
      </c>
      <c r="F45" s="129" t="s">
        <v>768</v>
      </c>
      <c r="G45" s="126" t="s">
        <v>769</v>
      </c>
    </row>
    <row r="46" spans="3:7" x14ac:dyDescent="0.25">
      <c r="C46" s="129" t="s">
        <v>770</v>
      </c>
      <c r="D46" s="126" t="s">
        <v>771</v>
      </c>
      <c r="E46" s="126" t="s">
        <v>772</v>
      </c>
      <c r="F46" s="129" t="s">
        <v>773</v>
      </c>
      <c r="G46" s="126" t="s">
        <v>774</v>
      </c>
    </row>
    <row r="47" spans="3:7" x14ac:dyDescent="0.25">
      <c r="C47" s="129" t="s">
        <v>775</v>
      </c>
      <c r="D47" s="126" t="s">
        <v>776</v>
      </c>
      <c r="E47" s="126" t="s">
        <v>777</v>
      </c>
      <c r="F47" s="129" t="s">
        <v>778</v>
      </c>
      <c r="G47" s="126" t="s">
        <v>779</v>
      </c>
    </row>
    <row r="48" spans="3:7" x14ac:dyDescent="0.25">
      <c r="C48" s="129" t="s">
        <v>780</v>
      </c>
      <c r="D48" s="126" t="s">
        <v>781</v>
      </c>
      <c r="E48" s="126" t="s">
        <v>782</v>
      </c>
      <c r="F48" s="129" t="s">
        <v>783</v>
      </c>
      <c r="G48" s="126" t="s">
        <v>784</v>
      </c>
    </row>
    <row r="49" spans="3:7" x14ac:dyDescent="0.25">
      <c r="C49" s="129" t="s">
        <v>785</v>
      </c>
      <c r="D49" s="126" t="s">
        <v>786</v>
      </c>
      <c r="E49" s="126" t="s">
        <v>787</v>
      </c>
      <c r="F49" s="129" t="s">
        <v>788</v>
      </c>
      <c r="G49" s="126" t="s">
        <v>789</v>
      </c>
    </row>
    <row r="50" spans="3:7" x14ac:dyDescent="0.25">
      <c r="C50" s="129" t="s">
        <v>790</v>
      </c>
      <c r="D50" s="126" t="s">
        <v>791</v>
      </c>
      <c r="E50" s="126" t="s">
        <v>792</v>
      </c>
      <c r="F50" s="129" t="s">
        <v>793</v>
      </c>
      <c r="G50" s="126" t="s">
        <v>794</v>
      </c>
    </row>
    <row r="51" spans="3:7" x14ac:dyDescent="0.25">
      <c r="C51" s="129" t="s">
        <v>795</v>
      </c>
      <c r="D51" s="126" t="s">
        <v>796</v>
      </c>
      <c r="E51" s="126" t="s">
        <v>797</v>
      </c>
      <c r="F51" s="129" t="s">
        <v>798</v>
      </c>
      <c r="G51" s="126" t="s">
        <v>799</v>
      </c>
    </row>
    <row r="52" spans="3:7" x14ac:dyDescent="0.25">
      <c r="C52" s="129" t="s">
        <v>800</v>
      </c>
      <c r="D52" s="126" t="s">
        <v>801</v>
      </c>
      <c r="E52" s="126" t="s">
        <v>802</v>
      </c>
      <c r="F52" s="129" t="s">
        <v>803</v>
      </c>
      <c r="G52" s="126" t="s">
        <v>804</v>
      </c>
    </row>
    <row r="53" spans="3:7" x14ac:dyDescent="0.25">
      <c r="C53" s="129" t="s">
        <v>805</v>
      </c>
      <c r="D53" s="126" t="s">
        <v>806</v>
      </c>
      <c r="E53" s="126" t="s">
        <v>807</v>
      </c>
      <c r="F53" s="129" t="s">
        <v>808</v>
      </c>
      <c r="G53" s="126" t="s">
        <v>809</v>
      </c>
    </row>
    <row r="54" spans="3:7" x14ac:dyDescent="0.25">
      <c r="C54" s="129" t="s">
        <v>810</v>
      </c>
      <c r="D54" s="126" t="s">
        <v>811</v>
      </c>
      <c r="E54" s="126" t="s">
        <v>812</v>
      </c>
      <c r="F54" s="129" t="s">
        <v>813</v>
      </c>
      <c r="G54" s="126" t="s">
        <v>814</v>
      </c>
    </row>
    <row r="55" spans="3:7" x14ac:dyDescent="0.25">
      <c r="C55" s="129" t="s">
        <v>815</v>
      </c>
      <c r="D55" s="126" t="s">
        <v>816</v>
      </c>
      <c r="E55" s="126" t="s">
        <v>817</v>
      </c>
      <c r="F55" s="129" t="s">
        <v>818</v>
      </c>
      <c r="G55" s="126" t="s">
        <v>819</v>
      </c>
    </row>
    <row r="56" spans="3:7" x14ac:dyDescent="0.25">
      <c r="C56" s="129" t="s">
        <v>820</v>
      </c>
      <c r="D56" s="126" t="s">
        <v>821</v>
      </c>
      <c r="E56" s="126" t="s">
        <v>822</v>
      </c>
      <c r="F56" s="129" t="s">
        <v>823</v>
      </c>
      <c r="G56" s="126" t="s">
        <v>824</v>
      </c>
    </row>
    <row r="57" spans="3:7" x14ac:dyDescent="0.25">
      <c r="C57" s="129" t="s">
        <v>825</v>
      </c>
      <c r="D57" s="126" t="s">
        <v>826</v>
      </c>
      <c r="E57" s="126" t="s">
        <v>827</v>
      </c>
      <c r="F57" s="129" t="s">
        <v>828</v>
      </c>
      <c r="G57" s="126" t="s">
        <v>829</v>
      </c>
    </row>
    <row r="58" spans="3:7" x14ac:dyDescent="0.25">
      <c r="C58" s="129" t="s">
        <v>830</v>
      </c>
      <c r="D58" s="126" t="s">
        <v>831</v>
      </c>
      <c r="E58" s="126" t="s">
        <v>832</v>
      </c>
      <c r="F58" s="129" t="s">
        <v>833</v>
      </c>
      <c r="G58" s="126" t="s">
        <v>834</v>
      </c>
    </row>
    <row r="59" spans="3:7" x14ac:dyDescent="0.25">
      <c r="C59" s="129" t="s">
        <v>835</v>
      </c>
      <c r="D59" s="126" t="s">
        <v>836</v>
      </c>
      <c r="E59" s="126" t="s">
        <v>837</v>
      </c>
      <c r="F59" s="129" t="s">
        <v>838</v>
      </c>
      <c r="G59" s="126" t="s">
        <v>839</v>
      </c>
    </row>
    <row r="60" spans="3:7" x14ac:dyDescent="0.25">
      <c r="C60" s="129" t="s">
        <v>840</v>
      </c>
      <c r="D60" s="126" t="s">
        <v>841</v>
      </c>
      <c r="E60" s="126" t="s">
        <v>842</v>
      </c>
      <c r="F60" s="129" t="s">
        <v>843</v>
      </c>
      <c r="G60" s="126" t="s">
        <v>844</v>
      </c>
    </row>
    <row r="61" spans="3:7" x14ac:dyDescent="0.25">
      <c r="C61" s="129" t="s">
        <v>845</v>
      </c>
      <c r="D61" s="126" t="s">
        <v>846</v>
      </c>
      <c r="E61" s="126" t="s">
        <v>847</v>
      </c>
      <c r="F61" s="129" t="s">
        <v>848</v>
      </c>
      <c r="G61" s="126" t="s">
        <v>849</v>
      </c>
    </row>
    <row r="62" spans="3:7" x14ac:dyDescent="0.25">
      <c r="C62" s="129" t="s">
        <v>850</v>
      </c>
      <c r="D62" s="126" t="s">
        <v>851</v>
      </c>
      <c r="E62" s="126" t="s">
        <v>852</v>
      </c>
      <c r="F62" s="129" t="s">
        <v>853</v>
      </c>
      <c r="G62" s="126" t="s">
        <v>854</v>
      </c>
    </row>
    <row r="63" spans="3:7" x14ac:dyDescent="0.25">
      <c r="C63" s="129" t="s">
        <v>855</v>
      </c>
      <c r="D63" s="126" t="s">
        <v>856</v>
      </c>
      <c r="E63" s="126" t="s">
        <v>857</v>
      </c>
      <c r="F63" s="129" t="s">
        <v>858</v>
      </c>
      <c r="G63" s="126" t="s">
        <v>859</v>
      </c>
    </row>
    <row r="64" spans="3:7" x14ac:dyDescent="0.25">
      <c r="C64" s="129" t="s">
        <v>860</v>
      </c>
      <c r="D64" s="126" t="s">
        <v>861</v>
      </c>
      <c r="E64" s="126" t="s">
        <v>862</v>
      </c>
      <c r="F64" s="129" t="s">
        <v>863</v>
      </c>
      <c r="G64" s="126" t="s">
        <v>864</v>
      </c>
    </row>
    <row r="65" spans="3:7" x14ac:dyDescent="0.25">
      <c r="C65" s="129" t="s">
        <v>865</v>
      </c>
      <c r="D65" s="126" t="s">
        <v>866</v>
      </c>
      <c r="E65" s="126" t="s">
        <v>867</v>
      </c>
      <c r="F65" s="129" t="s">
        <v>868</v>
      </c>
      <c r="G65" s="126" t="s">
        <v>869</v>
      </c>
    </row>
    <row r="66" spans="3:7" x14ac:dyDescent="0.25">
      <c r="C66" s="129" t="s">
        <v>870</v>
      </c>
      <c r="D66" s="126" t="s">
        <v>871</v>
      </c>
      <c r="E66" s="126" t="s">
        <v>872</v>
      </c>
      <c r="F66" s="129" t="s">
        <v>873</v>
      </c>
      <c r="G66" s="126" t="s">
        <v>874</v>
      </c>
    </row>
    <row r="67" spans="3:7" x14ac:dyDescent="0.25">
      <c r="C67" s="129" t="s">
        <v>875</v>
      </c>
      <c r="D67" s="126" t="s">
        <v>876</v>
      </c>
      <c r="E67" s="126" t="s">
        <v>877</v>
      </c>
      <c r="F67" s="129" t="s">
        <v>878</v>
      </c>
      <c r="G67" s="126" t="s">
        <v>879</v>
      </c>
    </row>
    <row r="68" spans="3:7" x14ac:dyDescent="0.25">
      <c r="C68" s="129" t="s">
        <v>880</v>
      </c>
      <c r="D68" s="126" t="s">
        <v>881</v>
      </c>
      <c r="E68" s="126" t="s">
        <v>882</v>
      </c>
      <c r="F68" s="129" t="s">
        <v>883</v>
      </c>
      <c r="G68" s="126" t="s">
        <v>884</v>
      </c>
    </row>
    <row r="69" spans="3:7" x14ac:dyDescent="0.25">
      <c r="C69" s="129" t="s">
        <v>885</v>
      </c>
      <c r="D69" s="126" t="s">
        <v>886</v>
      </c>
      <c r="E69" s="126" t="s">
        <v>887</v>
      </c>
      <c r="F69" s="129" t="s">
        <v>888</v>
      </c>
      <c r="G69" s="126" t="s">
        <v>889</v>
      </c>
    </row>
    <row r="70" spans="3:7" x14ac:dyDescent="0.25">
      <c r="C70" s="129" t="s">
        <v>890</v>
      </c>
      <c r="D70" s="126" t="s">
        <v>891</v>
      </c>
      <c r="E70" s="126" t="s">
        <v>892</v>
      </c>
      <c r="F70" s="129" t="s">
        <v>893</v>
      </c>
      <c r="G70" s="126" t="s">
        <v>894</v>
      </c>
    </row>
    <row r="71" spans="3:7" x14ac:dyDescent="0.25">
      <c r="C71" s="129" t="s">
        <v>895</v>
      </c>
      <c r="D71" s="126" t="s">
        <v>896</v>
      </c>
      <c r="E71" s="126" t="s">
        <v>897</v>
      </c>
      <c r="F71" s="129" t="s">
        <v>898</v>
      </c>
      <c r="G71" s="126" t="s">
        <v>899</v>
      </c>
    </row>
    <row r="72" spans="3:7" x14ac:dyDescent="0.25">
      <c r="C72" s="129" t="s">
        <v>900</v>
      </c>
      <c r="D72" s="126" t="s">
        <v>901</v>
      </c>
      <c r="E72" s="126" t="s">
        <v>902</v>
      </c>
      <c r="F72" s="129" t="s">
        <v>903</v>
      </c>
      <c r="G72" s="126" t="s">
        <v>904</v>
      </c>
    </row>
    <row r="73" spans="3:7" x14ac:dyDescent="0.25">
      <c r="C73" s="129" t="s">
        <v>905</v>
      </c>
      <c r="D73" s="126" t="s">
        <v>906</v>
      </c>
      <c r="E73" s="126" t="s">
        <v>907</v>
      </c>
      <c r="F73" s="129" t="s">
        <v>908</v>
      </c>
      <c r="G73" s="126" t="s">
        <v>909</v>
      </c>
    </row>
    <row r="74" spans="3:7" x14ac:dyDescent="0.25">
      <c r="C74" s="129" t="s">
        <v>910</v>
      </c>
      <c r="D74" s="126" t="s">
        <v>911</v>
      </c>
      <c r="E74" s="126" t="s">
        <v>912</v>
      </c>
      <c r="F74" s="129" t="s">
        <v>913</v>
      </c>
      <c r="G74" s="126" t="s">
        <v>914</v>
      </c>
    </row>
    <row r="75" spans="3:7" x14ac:dyDescent="0.25">
      <c r="C75" s="129" t="s">
        <v>915</v>
      </c>
      <c r="D75" s="126" t="s">
        <v>916</v>
      </c>
      <c r="E75" s="126" t="s">
        <v>917</v>
      </c>
      <c r="F75" s="129" t="s">
        <v>918</v>
      </c>
      <c r="G75" s="126" t="s">
        <v>919</v>
      </c>
    </row>
    <row r="76" spans="3:7" x14ac:dyDescent="0.25">
      <c r="C76" s="129" t="s">
        <v>920</v>
      </c>
      <c r="D76" s="126" t="s">
        <v>921</v>
      </c>
      <c r="E76" s="126" t="s">
        <v>922</v>
      </c>
      <c r="F76" s="129" t="s">
        <v>923</v>
      </c>
      <c r="G76" s="126" t="s">
        <v>924</v>
      </c>
    </row>
    <row r="77" spans="3:7" x14ac:dyDescent="0.25">
      <c r="C77" s="129" t="s">
        <v>925</v>
      </c>
      <c r="D77" s="126" t="s">
        <v>926</v>
      </c>
      <c r="E77" s="126" t="s">
        <v>927</v>
      </c>
      <c r="F77" s="129" t="s">
        <v>928</v>
      </c>
      <c r="G77" s="126" t="s">
        <v>929</v>
      </c>
    </row>
    <row r="78" spans="3:7" x14ac:dyDescent="0.25">
      <c r="C78" s="129" t="s">
        <v>930</v>
      </c>
      <c r="D78" s="126" t="s">
        <v>931</v>
      </c>
      <c r="E78" s="126" t="s">
        <v>932</v>
      </c>
      <c r="F78" s="129" t="s">
        <v>933</v>
      </c>
      <c r="G78" s="126" t="s">
        <v>934</v>
      </c>
    </row>
    <row r="79" spans="3:7" x14ac:dyDescent="0.25">
      <c r="C79" s="129" t="s">
        <v>935</v>
      </c>
      <c r="D79" s="126" t="s">
        <v>936</v>
      </c>
      <c r="E79" s="126" t="s">
        <v>937</v>
      </c>
      <c r="F79" s="129" t="s">
        <v>938</v>
      </c>
      <c r="G79" s="126" t="s">
        <v>939</v>
      </c>
    </row>
    <row r="80" spans="3:7" x14ac:dyDescent="0.25">
      <c r="C80" s="129" t="s">
        <v>940</v>
      </c>
      <c r="D80" s="126" t="s">
        <v>941</v>
      </c>
      <c r="E80" s="126" t="s">
        <v>942</v>
      </c>
      <c r="F80" s="129" t="s">
        <v>943</v>
      </c>
      <c r="G80" s="126" t="s">
        <v>944</v>
      </c>
    </row>
    <row r="81" spans="3:7" x14ac:dyDescent="0.25">
      <c r="C81" s="129" t="s">
        <v>945</v>
      </c>
      <c r="D81" s="126" t="s">
        <v>946</v>
      </c>
      <c r="E81" s="126" t="s">
        <v>947</v>
      </c>
      <c r="F81" s="129" t="s">
        <v>948</v>
      </c>
      <c r="G81" s="126" t="s">
        <v>949</v>
      </c>
    </row>
    <row r="82" spans="3:7" x14ac:dyDescent="0.25">
      <c r="C82" s="129" t="s">
        <v>950</v>
      </c>
      <c r="D82" s="126" t="s">
        <v>951</v>
      </c>
      <c r="E82" s="126" t="s">
        <v>952</v>
      </c>
      <c r="F82" s="129" t="s">
        <v>953</v>
      </c>
      <c r="G82" s="126" t="s">
        <v>954</v>
      </c>
    </row>
    <row r="83" spans="3:7" x14ac:dyDescent="0.25">
      <c r="C83" s="129" t="s">
        <v>955</v>
      </c>
      <c r="D83" s="126" t="s">
        <v>956</v>
      </c>
      <c r="E83" s="126" t="s">
        <v>957</v>
      </c>
      <c r="F83" s="129" t="s">
        <v>958</v>
      </c>
      <c r="G83" s="126" t="s">
        <v>959</v>
      </c>
    </row>
    <row r="84" spans="3:7" x14ac:dyDescent="0.25">
      <c r="C84" s="129" t="s">
        <v>960</v>
      </c>
      <c r="D84" s="126" t="s">
        <v>961</v>
      </c>
      <c r="E84" s="126" t="s">
        <v>962</v>
      </c>
      <c r="F84" s="129" t="s">
        <v>963</v>
      </c>
      <c r="G84" s="126" t="s">
        <v>964</v>
      </c>
    </row>
    <row r="85" spans="3:7" x14ac:dyDescent="0.25">
      <c r="C85" s="129" t="s">
        <v>965</v>
      </c>
      <c r="D85" s="126" t="s">
        <v>966</v>
      </c>
      <c r="E85" s="126" t="s">
        <v>967</v>
      </c>
      <c r="F85" s="129" t="s">
        <v>968</v>
      </c>
      <c r="G85" s="126" t="s">
        <v>969</v>
      </c>
    </row>
    <row r="86" spans="3:7" x14ac:dyDescent="0.25">
      <c r="C86" s="129" t="s">
        <v>970</v>
      </c>
      <c r="D86" s="126" t="s">
        <v>971</v>
      </c>
      <c r="E86" s="126" t="s">
        <v>972</v>
      </c>
      <c r="F86" s="129" t="s">
        <v>973</v>
      </c>
      <c r="G86" s="126" t="s">
        <v>974</v>
      </c>
    </row>
    <row r="87" spans="3:7" x14ac:dyDescent="0.25">
      <c r="C87" s="129" t="s">
        <v>975</v>
      </c>
      <c r="D87" s="126" t="s">
        <v>976</v>
      </c>
      <c r="E87" s="126" t="s">
        <v>977</v>
      </c>
      <c r="F87" s="129" t="s">
        <v>978</v>
      </c>
      <c r="G87" s="126" t="s">
        <v>979</v>
      </c>
    </row>
    <row r="88" spans="3:7" x14ac:dyDescent="0.25">
      <c r="C88" s="129" t="s">
        <v>980</v>
      </c>
      <c r="D88" s="126" t="s">
        <v>981</v>
      </c>
      <c r="E88" s="126" t="s">
        <v>982</v>
      </c>
      <c r="F88" s="129" t="s">
        <v>983</v>
      </c>
      <c r="G88" s="126" t="s">
        <v>984</v>
      </c>
    </row>
    <row r="89" spans="3:7" x14ac:dyDescent="0.25">
      <c r="C89" s="129" t="s">
        <v>985</v>
      </c>
      <c r="D89" s="126" t="s">
        <v>986</v>
      </c>
      <c r="E89" s="126" t="s">
        <v>987</v>
      </c>
      <c r="F89" s="129" t="s">
        <v>988</v>
      </c>
      <c r="G89" s="126" t="s">
        <v>989</v>
      </c>
    </row>
    <row r="90" spans="3:7" x14ac:dyDescent="0.25">
      <c r="C90" s="129" t="s">
        <v>990</v>
      </c>
      <c r="D90" s="126" t="s">
        <v>991</v>
      </c>
      <c r="E90" s="126" t="s">
        <v>992</v>
      </c>
      <c r="F90" s="129" t="s">
        <v>993</v>
      </c>
      <c r="G90" s="126" t="s">
        <v>994</v>
      </c>
    </row>
    <row r="91" spans="3:7" x14ac:dyDescent="0.25">
      <c r="C91" s="129" t="s">
        <v>995</v>
      </c>
      <c r="D91" s="126" t="s">
        <v>996</v>
      </c>
      <c r="E91" s="126" t="s">
        <v>997</v>
      </c>
      <c r="F91" s="129" t="s">
        <v>998</v>
      </c>
      <c r="G91" s="126" t="s">
        <v>999</v>
      </c>
    </row>
    <row r="92" spans="3:7" x14ac:dyDescent="0.25">
      <c r="C92" s="129" t="s">
        <v>1000</v>
      </c>
      <c r="D92" s="126" t="s">
        <v>1001</v>
      </c>
      <c r="E92" s="126" t="s">
        <v>1002</v>
      </c>
      <c r="F92" s="129" t="s">
        <v>1003</v>
      </c>
      <c r="G92" s="126" t="s">
        <v>1004</v>
      </c>
    </row>
    <row r="93" spans="3:7" x14ac:dyDescent="0.25">
      <c r="C93" s="129" t="s">
        <v>1005</v>
      </c>
      <c r="D93" s="126" t="s">
        <v>1006</v>
      </c>
      <c r="E93" s="126" t="s">
        <v>1007</v>
      </c>
      <c r="F93" s="129" t="s">
        <v>1008</v>
      </c>
      <c r="G93" s="126" t="s">
        <v>1009</v>
      </c>
    </row>
    <row r="94" spans="3:7" x14ac:dyDescent="0.25">
      <c r="C94" s="129" t="s">
        <v>1010</v>
      </c>
      <c r="D94" s="126" t="s">
        <v>1011</v>
      </c>
      <c r="E94" s="126" t="s">
        <v>1012</v>
      </c>
      <c r="F94" s="129" t="s">
        <v>1013</v>
      </c>
      <c r="G94" s="126" t="s">
        <v>1014</v>
      </c>
    </row>
    <row r="95" spans="3:7" x14ac:dyDescent="0.25">
      <c r="C95" s="129" t="s">
        <v>1015</v>
      </c>
      <c r="D95" s="126" t="s">
        <v>1016</v>
      </c>
      <c r="E95" s="126" t="s">
        <v>1017</v>
      </c>
      <c r="F95" s="129" t="s">
        <v>1018</v>
      </c>
      <c r="G95" s="126" t="s">
        <v>1019</v>
      </c>
    </row>
    <row r="96" spans="3:7" x14ac:dyDescent="0.25">
      <c r="C96" s="129" t="s">
        <v>1020</v>
      </c>
      <c r="D96" s="126" t="s">
        <v>1021</v>
      </c>
      <c r="E96" s="126" t="s">
        <v>1022</v>
      </c>
      <c r="F96" s="129" t="s">
        <v>1023</v>
      </c>
      <c r="G96" s="126" t="s">
        <v>1024</v>
      </c>
    </row>
    <row r="97" spans="3:7" x14ac:dyDescent="0.25">
      <c r="C97" s="129" t="s">
        <v>1025</v>
      </c>
      <c r="D97" s="126" t="s">
        <v>1026</v>
      </c>
      <c r="E97" s="126" t="s">
        <v>1027</v>
      </c>
      <c r="F97" s="129" t="s">
        <v>1028</v>
      </c>
      <c r="G97" s="126" t="s">
        <v>1029</v>
      </c>
    </row>
    <row r="98" spans="3:7" x14ac:dyDescent="0.25">
      <c r="C98" s="129" t="s">
        <v>1030</v>
      </c>
      <c r="D98" s="126" t="s">
        <v>1031</v>
      </c>
      <c r="E98" s="126" t="s">
        <v>1032</v>
      </c>
      <c r="F98" s="129" t="s">
        <v>1033</v>
      </c>
      <c r="G98" s="126" t="s">
        <v>1034</v>
      </c>
    </row>
    <row r="99" spans="3:7" x14ac:dyDescent="0.25">
      <c r="C99" s="129" t="s">
        <v>1035</v>
      </c>
      <c r="D99" s="126" t="s">
        <v>1036</v>
      </c>
      <c r="E99" s="126" t="s">
        <v>1037</v>
      </c>
      <c r="F99" s="129" t="s">
        <v>1038</v>
      </c>
      <c r="G99" s="126" t="s">
        <v>1039</v>
      </c>
    </row>
    <row r="100" spans="3:7" x14ac:dyDescent="0.25">
      <c r="C100" s="129" t="s">
        <v>1040</v>
      </c>
      <c r="D100" s="126" t="s">
        <v>1041</v>
      </c>
      <c r="E100" s="126" t="s">
        <v>1042</v>
      </c>
      <c r="F100" s="129" t="s">
        <v>1043</v>
      </c>
      <c r="G100" s="126" t="s">
        <v>1044</v>
      </c>
    </row>
    <row r="101" spans="3:7" x14ac:dyDescent="0.25">
      <c r="C101" s="129" t="s">
        <v>1045</v>
      </c>
      <c r="D101" s="126" t="s">
        <v>1046</v>
      </c>
      <c r="E101" s="126" t="s">
        <v>1047</v>
      </c>
      <c r="F101" s="129" t="s">
        <v>1048</v>
      </c>
      <c r="G101" s="126" t="s">
        <v>1049</v>
      </c>
    </row>
    <row r="102" spans="3:7" x14ac:dyDescent="0.25">
      <c r="C102" s="129" t="s">
        <v>1050</v>
      </c>
      <c r="D102" s="126" t="s">
        <v>1051</v>
      </c>
      <c r="E102" s="126" t="s">
        <v>1052</v>
      </c>
      <c r="F102" s="129" t="s">
        <v>1053</v>
      </c>
      <c r="G102" s="126" t="s">
        <v>1054</v>
      </c>
    </row>
    <row r="103" spans="3:7" x14ac:dyDescent="0.25">
      <c r="C103" s="129" t="s">
        <v>1055</v>
      </c>
      <c r="D103" s="126" t="s">
        <v>1056</v>
      </c>
      <c r="E103" s="126" t="s">
        <v>1057</v>
      </c>
      <c r="F103" s="129" t="s">
        <v>1058</v>
      </c>
      <c r="G103" s="126" t="s">
        <v>1059</v>
      </c>
    </row>
    <row r="104" spans="3:7" x14ac:dyDescent="0.25">
      <c r="C104" s="129" t="s">
        <v>1060</v>
      </c>
      <c r="D104" s="126" t="s">
        <v>1061</v>
      </c>
      <c r="E104" s="126" t="s">
        <v>1062</v>
      </c>
      <c r="F104" s="129" t="s">
        <v>1063</v>
      </c>
      <c r="G104" s="126" t="s">
        <v>1064</v>
      </c>
    </row>
    <row r="105" spans="3:7" x14ac:dyDescent="0.25">
      <c r="C105" s="129" t="s">
        <v>1065</v>
      </c>
      <c r="D105" s="126" t="s">
        <v>1066</v>
      </c>
      <c r="E105" s="126" t="s">
        <v>1067</v>
      </c>
      <c r="F105" s="129" t="s">
        <v>1068</v>
      </c>
      <c r="G105" s="126" t="s">
        <v>1069</v>
      </c>
    </row>
    <row r="106" spans="3:7" x14ac:dyDescent="0.25">
      <c r="C106" s="129" t="s">
        <v>1070</v>
      </c>
      <c r="D106" s="126" t="s">
        <v>1071</v>
      </c>
      <c r="E106" s="126" t="s">
        <v>1072</v>
      </c>
      <c r="F106" s="129" t="s">
        <v>1073</v>
      </c>
      <c r="G106" s="126" t="s">
        <v>1074</v>
      </c>
    </row>
    <row r="107" spans="3:7" x14ac:dyDescent="0.25">
      <c r="C107" s="129" t="s">
        <v>1075</v>
      </c>
      <c r="D107" s="126" t="s">
        <v>1076</v>
      </c>
      <c r="E107" s="126" t="s">
        <v>1077</v>
      </c>
      <c r="F107" s="129" t="s">
        <v>1078</v>
      </c>
      <c r="G107" s="126" t="s">
        <v>1079</v>
      </c>
    </row>
    <row r="108" spans="3:7" x14ac:dyDescent="0.25">
      <c r="C108" s="129" t="s">
        <v>1080</v>
      </c>
      <c r="D108" s="126" t="s">
        <v>1081</v>
      </c>
      <c r="E108" s="126" t="s">
        <v>1082</v>
      </c>
      <c r="F108" s="129" t="s">
        <v>1083</v>
      </c>
      <c r="G108" s="126" t="s">
        <v>1084</v>
      </c>
    </row>
    <row r="109" spans="3:7" x14ac:dyDescent="0.25">
      <c r="C109" s="129" t="s">
        <v>1085</v>
      </c>
      <c r="D109" s="126" t="s">
        <v>1086</v>
      </c>
      <c r="E109" s="126" t="s">
        <v>1087</v>
      </c>
      <c r="F109" s="129" t="s">
        <v>1088</v>
      </c>
      <c r="G109" s="126" t="s">
        <v>1089</v>
      </c>
    </row>
    <row r="110" spans="3:7" x14ac:dyDescent="0.25">
      <c r="C110" s="129" t="s">
        <v>1090</v>
      </c>
      <c r="D110" s="126" t="s">
        <v>1091</v>
      </c>
      <c r="E110" s="126" t="s">
        <v>1092</v>
      </c>
      <c r="F110" s="129" t="s">
        <v>1093</v>
      </c>
      <c r="G110" s="126" t="s">
        <v>1094</v>
      </c>
    </row>
    <row r="111" spans="3:7" x14ac:dyDescent="0.25">
      <c r="C111" s="129" t="s">
        <v>1095</v>
      </c>
      <c r="D111" s="126" t="s">
        <v>1096</v>
      </c>
      <c r="E111" s="126" t="s">
        <v>1097</v>
      </c>
      <c r="F111" s="129" t="s">
        <v>1098</v>
      </c>
      <c r="G111" s="126" t="s">
        <v>1099</v>
      </c>
    </row>
    <row r="112" spans="3:7" x14ac:dyDescent="0.25">
      <c r="C112" s="129" t="s">
        <v>1100</v>
      </c>
      <c r="D112" s="126" t="s">
        <v>1101</v>
      </c>
      <c r="E112" s="126" t="s">
        <v>1102</v>
      </c>
      <c r="F112" s="129" t="s">
        <v>1103</v>
      </c>
      <c r="G112" s="126" t="s">
        <v>1104</v>
      </c>
    </row>
    <row r="113" spans="3:7" x14ac:dyDescent="0.25">
      <c r="C113" s="129" t="s">
        <v>1105</v>
      </c>
      <c r="D113" s="126" t="s">
        <v>1106</v>
      </c>
      <c r="E113" s="126" t="s">
        <v>1107</v>
      </c>
      <c r="F113" s="129" t="s">
        <v>1108</v>
      </c>
      <c r="G113" s="126" t="s">
        <v>1109</v>
      </c>
    </row>
    <row r="114" spans="3:7" x14ac:dyDescent="0.25">
      <c r="C114" s="129" t="s">
        <v>1110</v>
      </c>
      <c r="D114" s="126" t="s">
        <v>1111</v>
      </c>
      <c r="E114" s="126" t="s">
        <v>1112</v>
      </c>
      <c r="F114" s="129" t="s">
        <v>1113</v>
      </c>
      <c r="G114" s="126" t="s">
        <v>1114</v>
      </c>
    </row>
    <row r="115" spans="3:7" x14ac:dyDescent="0.25">
      <c r="C115" s="129" t="s">
        <v>1115</v>
      </c>
      <c r="D115" s="126" t="s">
        <v>1116</v>
      </c>
      <c r="E115" s="126" t="s">
        <v>1117</v>
      </c>
      <c r="F115" s="129" t="s">
        <v>1118</v>
      </c>
      <c r="G115" s="126" t="s">
        <v>1119</v>
      </c>
    </row>
    <row r="116" spans="3:7" x14ac:dyDescent="0.25">
      <c r="C116" s="129" t="s">
        <v>1120</v>
      </c>
      <c r="D116" s="126" t="s">
        <v>1121</v>
      </c>
      <c r="E116" s="126" t="s">
        <v>1122</v>
      </c>
      <c r="F116" s="129" t="s">
        <v>1123</v>
      </c>
      <c r="G116" s="126" t="s">
        <v>1124</v>
      </c>
    </row>
    <row r="117" spans="3:7" x14ac:dyDescent="0.25">
      <c r="C117" s="129" t="s">
        <v>1125</v>
      </c>
      <c r="D117" s="126" t="s">
        <v>1126</v>
      </c>
      <c r="E117" s="126" t="s">
        <v>1127</v>
      </c>
      <c r="F117" s="129" t="s">
        <v>1128</v>
      </c>
      <c r="G117" s="126" t="s">
        <v>1129</v>
      </c>
    </row>
    <row r="118" spans="3:7" x14ac:dyDescent="0.25">
      <c r="C118" s="129" t="s">
        <v>1130</v>
      </c>
      <c r="D118" s="126" t="s">
        <v>1131</v>
      </c>
      <c r="E118" s="126" t="s">
        <v>1132</v>
      </c>
      <c r="F118" s="129" t="s">
        <v>1133</v>
      </c>
      <c r="G118" s="126" t="s">
        <v>1134</v>
      </c>
    </row>
    <row r="119" spans="3:7" x14ac:dyDescent="0.25">
      <c r="C119" s="129" t="s">
        <v>1135</v>
      </c>
      <c r="D119" s="126" t="s">
        <v>1136</v>
      </c>
      <c r="E119" s="126" t="s">
        <v>1137</v>
      </c>
      <c r="F119" s="129" t="s">
        <v>1138</v>
      </c>
      <c r="G119" s="126" t="s">
        <v>1139</v>
      </c>
    </row>
    <row r="120" spans="3:7" x14ac:dyDescent="0.25">
      <c r="C120" s="129" t="s">
        <v>1140</v>
      </c>
      <c r="D120" s="126" t="s">
        <v>1141</v>
      </c>
      <c r="E120" s="126" t="s">
        <v>1142</v>
      </c>
      <c r="F120" s="129" t="s">
        <v>1143</v>
      </c>
      <c r="G120" s="126" t="s">
        <v>1144</v>
      </c>
    </row>
    <row r="121" spans="3:7" x14ac:dyDescent="0.25">
      <c r="C121" s="129" t="s">
        <v>1145</v>
      </c>
      <c r="D121" s="126" t="s">
        <v>1146</v>
      </c>
      <c r="E121" s="126" t="s">
        <v>1147</v>
      </c>
      <c r="F121" s="129" t="s">
        <v>1148</v>
      </c>
      <c r="G121" s="126" t="s">
        <v>1149</v>
      </c>
    </row>
    <row r="122" spans="3:7" x14ac:dyDescent="0.25">
      <c r="C122" s="129" t="s">
        <v>1150</v>
      </c>
      <c r="D122" s="126" t="s">
        <v>1151</v>
      </c>
      <c r="E122" s="126" t="s">
        <v>1152</v>
      </c>
      <c r="F122" s="129" t="s">
        <v>1153</v>
      </c>
      <c r="G122" s="126" t="s">
        <v>1154</v>
      </c>
    </row>
    <row r="123" spans="3:7" x14ac:dyDescent="0.25">
      <c r="C123" s="129" t="s">
        <v>1155</v>
      </c>
      <c r="D123" s="126" t="s">
        <v>1156</v>
      </c>
      <c r="E123" s="126" t="s">
        <v>1157</v>
      </c>
      <c r="F123" s="129" t="s">
        <v>1158</v>
      </c>
      <c r="G123" s="126" t="s">
        <v>1159</v>
      </c>
    </row>
    <row r="124" spans="3:7" x14ac:dyDescent="0.25">
      <c r="C124" s="129" t="s">
        <v>1160</v>
      </c>
      <c r="D124" s="126" t="s">
        <v>1161</v>
      </c>
      <c r="E124" s="126" t="s">
        <v>1162</v>
      </c>
      <c r="F124" s="129" t="s">
        <v>1163</v>
      </c>
      <c r="G124" s="126" t="s">
        <v>1164</v>
      </c>
    </row>
    <row r="125" spans="3:7" x14ac:dyDescent="0.25">
      <c r="C125" s="129" t="s">
        <v>1165</v>
      </c>
      <c r="D125" s="126" t="s">
        <v>1166</v>
      </c>
      <c r="E125" s="126" t="s">
        <v>1167</v>
      </c>
      <c r="F125" s="129" t="s">
        <v>1168</v>
      </c>
      <c r="G125" s="126" t="s">
        <v>1169</v>
      </c>
    </row>
    <row r="126" spans="3:7" x14ac:dyDescent="0.25">
      <c r="C126" s="129" t="s">
        <v>1170</v>
      </c>
      <c r="D126" s="126" t="s">
        <v>1171</v>
      </c>
      <c r="E126" s="126" t="s">
        <v>1172</v>
      </c>
      <c r="F126" s="129" t="s">
        <v>1173</v>
      </c>
      <c r="G126" s="126" t="s">
        <v>1174</v>
      </c>
    </row>
    <row r="127" spans="3:7" x14ac:dyDescent="0.25">
      <c r="C127" s="129" t="s">
        <v>1175</v>
      </c>
      <c r="D127" s="126" t="s">
        <v>1176</v>
      </c>
      <c r="E127" s="126" t="s">
        <v>1177</v>
      </c>
      <c r="F127" s="129" t="s">
        <v>1178</v>
      </c>
      <c r="G127" s="126" t="s">
        <v>1179</v>
      </c>
    </row>
    <row r="128" spans="3:7" x14ac:dyDescent="0.25">
      <c r="C128" s="129" t="s">
        <v>1180</v>
      </c>
      <c r="D128" s="126" t="s">
        <v>1181</v>
      </c>
      <c r="E128" s="126" t="s">
        <v>1182</v>
      </c>
      <c r="F128" s="129" t="s">
        <v>1183</v>
      </c>
      <c r="G128" s="126" t="s">
        <v>1184</v>
      </c>
    </row>
    <row r="129" spans="3:7" x14ac:dyDescent="0.25">
      <c r="C129" s="129" t="s">
        <v>1185</v>
      </c>
      <c r="D129" s="126" t="s">
        <v>1186</v>
      </c>
      <c r="E129" s="126" t="s">
        <v>1187</v>
      </c>
      <c r="F129" s="129" t="s">
        <v>1188</v>
      </c>
      <c r="G129" s="126" t="s">
        <v>1189</v>
      </c>
    </row>
    <row r="130" spans="3:7" x14ac:dyDescent="0.25">
      <c r="C130" s="129" t="s">
        <v>1190</v>
      </c>
      <c r="D130" s="126" t="s">
        <v>1191</v>
      </c>
      <c r="E130" s="126" t="s">
        <v>1192</v>
      </c>
      <c r="F130" s="129" t="s">
        <v>1193</v>
      </c>
      <c r="G130" s="126" t="s">
        <v>1194</v>
      </c>
    </row>
    <row r="131" spans="3:7" x14ac:dyDescent="0.25">
      <c r="C131" s="129" t="s">
        <v>1195</v>
      </c>
      <c r="D131" s="126" t="s">
        <v>1196</v>
      </c>
      <c r="E131" s="126" t="s">
        <v>1197</v>
      </c>
      <c r="F131" s="129" t="s">
        <v>1198</v>
      </c>
      <c r="G131" s="126" t="s">
        <v>1199</v>
      </c>
    </row>
    <row r="132" spans="3:7" x14ac:dyDescent="0.25">
      <c r="C132" s="129" t="s">
        <v>1200</v>
      </c>
      <c r="D132" s="126" t="s">
        <v>1201</v>
      </c>
      <c r="E132" s="126" t="s">
        <v>1202</v>
      </c>
      <c r="F132" s="129" t="s">
        <v>1203</v>
      </c>
      <c r="G132" s="126" t="s">
        <v>1204</v>
      </c>
    </row>
    <row r="133" spans="3:7" x14ac:dyDescent="0.25">
      <c r="C133" s="129" t="s">
        <v>1205</v>
      </c>
      <c r="D133" s="126" t="s">
        <v>1206</v>
      </c>
      <c r="E133" s="126" t="s">
        <v>1207</v>
      </c>
      <c r="F133" s="129" t="s">
        <v>1208</v>
      </c>
      <c r="G133" s="126" t="s">
        <v>1209</v>
      </c>
    </row>
    <row r="134" spans="3:7" x14ac:dyDescent="0.25">
      <c r="C134" s="129" t="s">
        <v>1210</v>
      </c>
      <c r="D134" s="126" t="s">
        <v>1211</v>
      </c>
      <c r="E134" s="126" t="s">
        <v>1212</v>
      </c>
      <c r="F134" s="129" t="s">
        <v>1213</v>
      </c>
      <c r="G134" s="126" t="s">
        <v>1214</v>
      </c>
    </row>
    <row r="135" spans="3:7" x14ac:dyDescent="0.25">
      <c r="C135" s="129" t="s">
        <v>1215</v>
      </c>
      <c r="D135" s="126" t="s">
        <v>1216</v>
      </c>
      <c r="E135" s="126" t="s">
        <v>1217</v>
      </c>
      <c r="F135" s="129" t="s">
        <v>1218</v>
      </c>
      <c r="G135" s="126" t="s">
        <v>1219</v>
      </c>
    </row>
    <row r="136" spans="3:7" x14ac:dyDescent="0.25">
      <c r="C136" s="129" t="s">
        <v>1220</v>
      </c>
      <c r="D136" s="126" t="s">
        <v>1221</v>
      </c>
      <c r="E136" s="126" t="s">
        <v>1222</v>
      </c>
      <c r="F136" s="129" t="s">
        <v>1223</v>
      </c>
      <c r="G136" s="126" t="s">
        <v>1224</v>
      </c>
    </row>
    <row r="137" spans="3:7" x14ac:dyDescent="0.25">
      <c r="C137" s="129" t="s">
        <v>1225</v>
      </c>
      <c r="D137" s="126" t="s">
        <v>1226</v>
      </c>
      <c r="E137" s="126" t="s">
        <v>1227</v>
      </c>
      <c r="F137" s="129" t="s">
        <v>1228</v>
      </c>
      <c r="G137" s="126" t="s">
        <v>1229</v>
      </c>
    </row>
    <row r="138" spans="3:7" x14ac:dyDescent="0.25">
      <c r="C138" s="129" t="s">
        <v>1230</v>
      </c>
      <c r="D138" s="126" t="s">
        <v>1231</v>
      </c>
      <c r="E138" s="126" t="s">
        <v>1232</v>
      </c>
      <c r="F138" s="129" t="s">
        <v>1233</v>
      </c>
      <c r="G138" s="126" t="s">
        <v>1234</v>
      </c>
    </row>
    <row r="139" spans="3:7" x14ac:dyDescent="0.25">
      <c r="C139" s="129" t="s">
        <v>1235</v>
      </c>
      <c r="D139" s="126" t="s">
        <v>1236</v>
      </c>
      <c r="E139" s="126" t="s">
        <v>1237</v>
      </c>
      <c r="F139" s="129" t="s">
        <v>1238</v>
      </c>
      <c r="G139" s="126" t="s">
        <v>1239</v>
      </c>
    </row>
    <row r="140" spans="3:7" x14ac:dyDescent="0.25">
      <c r="C140" s="129" t="s">
        <v>1240</v>
      </c>
      <c r="D140" s="126" t="s">
        <v>1241</v>
      </c>
      <c r="E140" s="126" t="s">
        <v>1242</v>
      </c>
      <c r="F140" s="129" t="s">
        <v>1243</v>
      </c>
      <c r="G140" s="126" t="s">
        <v>1244</v>
      </c>
    </row>
    <row r="141" spans="3:7" x14ac:dyDescent="0.25">
      <c r="C141" s="129" t="s">
        <v>1245</v>
      </c>
      <c r="D141" s="126" t="s">
        <v>1246</v>
      </c>
      <c r="E141" s="126" t="s">
        <v>1247</v>
      </c>
      <c r="F141" s="129" t="s">
        <v>1248</v>
      </c>
      <c r="G141" s="126" t="s">
        <v>1249</v>
      </c>
    </row>
    <row r="142" spans="3:7" x14ac:dyDescent="0.25">
      <c r="C142" s="129" t="s">
        <v>1250</v>
      </c>
      <c r="D142" s="126" t="s">
        <v>1251</v>
      </c>
      <c r="E142" s="126" t="s">
        <v>1252</v>
      </c>
      <c r="F142" s="129" t="s">
        <v>1253</v>
      </c>
      <c r="G142" s="126" t="s">
        <v>1254</v>
      </c>
    </row>
    <row r="143" spans="3:7" x14ac:dyDescent="0.25">
      <c r="C143" s="129" t="s">
        <v>1255</v>
      </c>
      <c r="D143" s="126" t="s">
        <v>1256</v>
      </c>
      <c r="E143" s="126" t="s">
        <v>1257</v>
      </c>
      <c r="F143" s="129" t="s">
        <v>1258</v>
      </c>
      <c r="G143" s="126" t="s">
        <v>1259</v>
      </c>
    </row>
    <row r="144" spans="3:7" x14ac:dyDescent="0.25">
      <c r="C144" s="129" t="s">
        <v>1260</v>
      </c>
      <c r="D144" s="126" t="s">
        <v>1261</v>
      </c>
      <c r="E144" s="126" t="s">
        <v>1262</v>
      </c>
      <c r="F144" s="129" t="s">
        <v>1263</v>
      </c>
      <c r="G144" s="126" t="s">
        <v>1264</v>
      </c>
    </row>
    <row r="145" spans="3:7" x14ac:dyDescent="0.25">
      <c r="C145" s="129" t="s">
        <v>1265</v>
      </c>
      <c r="D145" s="126" t="s">
        <v>1266</v>
      </c>
      <c r="E145" s="126" t="s">
        <v>1267</v>
      </c>
      <c r="F145" s="129" t="s">
        <v>1268</v>
      </c>
      <c r="G145" s="126" t="s">
        <v>1269</v>
      </c>
    </row>
    <row r="146" spans="3:7" x14ac:dyDescent="0.25">
      <c r="C146" s="129" t="s">
        <v>1270</v>
      </c>
      <c r="D146" s="126" t="s">
        <v>1271</v>
      </c>
      <c r="E146" s="126" t="s">
        <v>1272</v>
      </c>
      <c r="F146" s="129" t="s">
        <v>1273</v>
      </c>
      <c r="G146" s="126" t="s">
        <v>1274</v>
      </c>
    </row>
    <row r="147" spans="3:7" x14ac:dyDescent="0.25">
      <c r="C147" s="129" t="s">
        <v>1275</v>
      </c>
      <c r="D147" s="126" t="s">
        <v>1276</v>
      </c>
      <c r="E147" s="126" t="s">
        <v>1277</v>
      </c>
      <c r="F147" s="129" t="s">
        <v>1278</v>
      </c>
      <c r="G147" s="126" t="s">
        <v>1279</v>
      </c>
    </row>
    <row r="148" spans="3:7" x14ac:dyDescent="0.25">
      <c r="C148" s="129" t="s">
        <v>1280</v>
      </c>
      <c r="D148" s="126" t="s">
        <v>1281</v>
      </c>
      <c r="E148" s="126" t="s">
        <v>1282</v>
      </c>
      <c r="F148" s="129" t="s">
        <v>1283</v>
      </c>
      <c r="G148" s="126" t="s">
        <v>1284</v>
      </c>
    </row>
    <row r="149" spans="3:7" x14ac:dyDescent="0.25">
      <c r="C149" s="129" t="s">
        <v>1285</v>
      </c>
      <c r="D149" s="126" t="s">
        <v>1286</v>
      </c>
      <c r="E149" s="126" t="s">
        <v>1287</v>
      </c>
      <c r="F149" s="129" t="s">
        <v>1288</v>
      </c>
      <c r="G149" s="126" t="s">
        <v>1289</v>
      </c>
    </row>
    <row r="150" spans="3:7" x14ac:dyDescent="0.25">
      <c r="C150" s="129" t="s">
        <v>1290</v>
      </c>
      <c r="D150" s="126" t="s">
        <v>1291</v>
      </c>
      <c r="E150" s="126" t="s">
        <v>1292</v>
      </c>
      <c r="F150" s="129" t="s">
        <v>1293</v>
      </c>
      <c r="G150" s="126" t="s">
        <v>1294</v>
      </c>
    </row>
    <row r="151" spans="3:7" ht="15.75" thickBot="1" x14ac:dyDescent="0.3">
      <c r="C151" s="129" t="s">
        <v>1295</v>
      </c>
      <c r="D151" s="126" t="s">
        <v>1296</v>
      </c>
      <c r="E151" s="126" t="s">
        <v>1297</v>
      </c>
      <c r="F151" s="129" t="s">
        <v>1298</v>
      </c>
      <c r="G151" s="127" t="s">
        <v>1299</v>
      </c>
    </row>
    <row r="152" spans="3:7" x14ac:dyDescent="0.25">
      <c r="C152" s="129" t="s">
        <v>1300</v>
      </c>
      <c r="D152" s="126" t="s">
        <v>1301</v>
      </c>
      <c r="E152" s="126" t="s">
        <v>1302</v>
      </c>
      <c r="F152" s="126" t="s">
        <v>1303</v>
      </c>
    </row>
    <row r="153" spans="3:7" x14ac:dyDescent="0.25">
      <c r="C153" s="129" t="s">
        <v>1304</v>
      </c>
      <c r="D153" s="126" t="s">
        <v>1305</v>
      </c>
      <c r="E153" s="126" t="s">
        <v>1306</v>
      </c>
      <c r="F153" s="126" t="s">
        <v>1307</v>
      </c>
    </row>
    <row r="154" spans="3:7" x14ac:dyDescent="0.25">
      <c r="C154" s="129" t="s">
        <v>1308</v>
      </c>
      <c r="D154" s="126" t="s">
        <v>1309</v>
      </c>
      <c r="E154" s="126" t="s">
        <v>1310</v>
      </c>
      <c r="F154" s="126" t="s">
        <v>1311</v>
      </c>
    </row>
    <row r="155" spans="3:7" x14ac:dyDescent="0.25">
      <c r="C155" s="129" t="s">
        <v>1312</v>
      </c>
      <c r="D155" s="126" t="s">
        <v>1313</v>
      </c>
      <c r="E155" s="126" t="s">
        <v>1314</v>
      </c>
      <c r="F155" s="126" t="s">
        <v>1315</v>
      </c>
    </row>
    <row r="156" spans="3:7" x14ac:dyDescent="0.25">
      <c r="C156" s="129" t="s">
        <v>1316</v>
      </c>
      <c r="D156" s="126" t="s">
        <v>1317</v>
      </c>
      <c r="E156" s="126" t="s">
        <v>1318</v>
      </c>
      <c r="F156" s="126" t="s">
        <v>1319</v>
      </c>
    </row>
    <row r="157" spans="3:7" x14ac:dyDescent="0.25">
      <c r="C157" s="129" t="s">
        <v>1320</v>
      </c>
      <c r="D157" s="126" t="s">
        <v>1321</v>
      </c>
      <c r="E157" s="126" t="s">
        <v>1322</v>
      </c>
      <c r="F157" s="126" t="s">
        <v>1323</v>
      </c>
    </row>
    <row r="158" spans="3:7" x14ac:dyDescent="0.25">
      <c r="C158" s="129" t="s">
        <v>1324</v>
      </c>
      <c r="D158" s="126" t="s">
        <v>1325</v>
      </c>
      <c r="E158" s="126" t="s">
        <v>1326</v>
      </c>
      <c r="F158" s="126" t="s">
        <v>1327</v>
      </c>
    </row>
    <row r="159" spans="3:7" x14ac:dyDescent="0.25">
      <c r="C159" s="129" t="s">
        <v>1328</v>
      </c>
      <c r="D159" s="126" t="s">
        <v>1329</v>
      </c>
      <c r="E159" s="126" t="s">
        <v>1330</v>
      </c>
      <c r="F159" s="126" t="s">
        <v>1331</v>
      </c>
    </row>
    <row r="160" spans="3:7" x14ac:dyDescent="0.25">
      <c r="C160" s="129" t="s">
        <v>1332</v>
      </c>
      <c r="D160" s="126" t="s">
        <v>1333</v>
      </c>
      <c r="E160" s="126" t="s">
        <v>1334</v>
      </c>
      <c r="F160" s="126" t="s">
        <v>1335</v>
      </c>
    </row>
    <row r="161" spans="3:6" x14ac:dyDescent="0.25">
      <c r="C161" s="129" t="s">
        <v>1336</v>
      </c>
      <c r="D161" s="126" t="s">
        <v>1337</v>
      </c>
      <c r="E161" s="126" t="s">
        <v>1338</v>
      </c>
      <c r="F161" s="126" t="s">
        <v>1339</v>
      </c>
    </row>
    <row r="162" spans="3:6" x14ac:dyDescent="0.25">
      <c r="C162" s="129" t="s">
        <v>1340</v>
      </c>
      <c r="D162" s="126" t="s">
        <v>1341</v>
      </c>
      <c r="E162" s="126" t="s">
        <v>1342</v>
      </c>
      <c r="F162" s="126" t="s">
        <v>1343</v>
      </c>
    </row>
    <row r="163" spans="3:6" x14ac:dyDescent="0.25">
      <c r="C163" s="129" t="s">
        <v>1344</v>
      </c>
      <c r="D163" s="126" t="s">
        <v>1345</v>
      </c>
      <c r="E163" s="126" t="s">
        <v>1346</v>
      </c>
      <c r="F163" s="126" t="s">
        <v>1347</v>
      </c>
    </row>
    <row r="164" spans="3:6" x14ac:dyDescent="0.25">
      <c r="C164" s="129" t="s">
        <v>1348</v>
      </c>
      <c r="D164" s="126" t="s">
        <v>1349</v>
      </c>
      <c r="E164" s="126" t="s">
        <v>1350</v>
      </c>
      <c r="F164" s="126" t="s">
        <v>1351</v>
      </c>
    </row>
    <row r="165" spans="3:6" x14ac:dyDescent="0.25">
      <c r="C165" s="129" t="s">
        <v>1352</v>
      </c>
      <c r="D165" s="126" t="s">
        <v>1353</v>
      </c>
      <c r="E165" s="126" t="s">
        <v>1354</v>
      </c>
      <c r="F165" s="126" t="s">
        <v>1355</v>
      </c>
    </row>
    <row r="166" spans="3:6" x14ac:dyDescent="0.25">
      <c r="C166" s="129" t="s">
        <v>1356</v>
      </c>
      <c r="D166" s="126" t="s">
        <v>1357</v>
      </c>
      <c r="E166" s="126" t="s">
        <v>1358</v>
      </c>
      <c r="F166" s="126" t="s">
        <v>1359</v>
      </c>
    </row>
    <row r="167" spans="3:6" x14ac:dyDescent="0.25">
      <c r="C167" s="129" t="s">
        <v>1360</v>
      </c>
      <c r="D167" s="126" t="s">
        <v>1361</v>
      </c>
      <c r="E167" s="126" t="s">
        <v>1362</v>
      </c>
      <c r="F167" s="126" t="s">
        <v>1363</v>
      </c>
    </row>
    <row r="168" spans="3:6" x14ac:dyDescent="0.25">
      <c r="C168" s="129" t="s">
        <v>1364</v>
      </c>
      <c r="D168" s="126" t="s">
        <v>1365</v>
      </c>
      <c r="E168" s="126" t="s">
        <v>1366</v>
      </c>
      <c r="F168" s="126" t="s">
        <v>1367</v>
      </c>
    </row>
    <row r="169" spans="3:6" x14ac:dyDescent="0.25">
      <c r="C169" s="129" t="s">
        <v>1368</v>
      </c>
      <c r="D169" s="126" t="s">
        <v>1369</v>
      </c>
      <c r="E169" s="126" t="s">
        <v>1370</v>
      </c>
      <c r="F169" s="126" t="s">
        <v>1371</v>
      </c>
    </row>
    <row r="170" spans="3:6" x14ac:dyDescent="0.25">
      <c r="C170" s="129" t="s">
        <v>1372</v>
      </c>
      <c r="D170" s="126" t="s">
        <v>1373</v>
      </c>
      <c r="E170" s="126" t="s">
        <v>1374</v>
      </c>
      <c r="F170" s="126" t="s">
        <v>1375</v>
      </c>
    </row>
    <row r="171" spans="3:6" x14ac:dyDescent="0.25">
      <c r="C171" s="129" t="s">
        <v>1376</v>
      </c>
      <c r="D171" s="126" t="s">
        <v>1377</v>
      </c>
      <c r="E171" s="126" t="s">
        <v>1378</v>
      </c>
      <c r="F171" s="126" t="s">
        <v>1379</v>
      </c>
    </row>
    <row r="172" spans="3:6" x14ac:dyDescent="0.25">
      <c r="C172" s="129" t="s">
        <v>1380</v>
      </c>
      <c r="D172" s="126" t="s">
        <v>1381</v>
      </c>
      <c r="E172" s="126" t="s">
        <v>1382</v>
      </c>
      <c r="F172" s="126" t="s">
        <v>1383</v>
      </c>
    </row>
    <row r="173" spans="3:6" x14ac:dyDescent="0.25">
      <c r="C173" s="129" t="s">
        <v>1384</v>
      </c>
      <c r="D173" s="126" t="s">
        <v>1385</v>
      </c>
      <c r="E173" s="126" t="s">
        <v>1386</v>
      </c>
      <c r="F173" s="126" t="s">
        <v>1387</v>
      </c>
    </row>
    <row r="174" spans="3:6" x14ac:dyDescent="0.25">
      <c r="C174" s="129" t="s">
        <v>1388</v>
      </c>
      <c r="D174" s="126" t="s">
        <v>1389</v>
      </c>
      <c r="E174" s="126" t="s">
        <v>1390</v>
      </c>
      <c r="F174" s="126" t="s">
        <v>1391</v>
      </c>
    </row>
    <row r="175" spans="3:6" x14ac:dyDescent="0.25">
      <c r="C175" s="129" t="s">
        <v>1392</v>
      </c>
      <c r="D175" s="126" t="s">
        <v>1393</v>
      </c>
      <c r="E175" s="126" t="s">
        <v>1394</v>
      </c>
      <c r="F175" s="126" t="s">
        <v>1395</v>
      </c>
    </row>
    <row r="176" spans="3:6" x14ac:dyDescent="0.25">
      <c r="C176" s="129" t="s">
        <v>1396</v>
      </c>
      <c r="D176" s="126" t="s">
        <v>1397</v>
      </c>
      <c r="E176" s="126" t="s">
        <v>1398</v>
      </c>
      <c r="F176" s="126" t="s">
        <v>1399</v>
      </c>
    </row>
    <row r="177" spans="3:6" x14ac:dyDescent="0.25">
      <c r="C177" s="129" t="s">
        <v>1400</v>
      </c>
      <c r="D177" s="126" t="s">
        <v>1401</v>
      </c>
      <c r="E177" s="126" t="s">
        <v>1402</v>
      </c>
      <c r="F177" s="126" t="s">
        <v>1403</v>
      </c>
    </row>
    <row r="178" spans="3:6" x14ac:dyDescent="0.25">
      <c r="C178" s="129" t="s">
        <v>1404</v>
      </c>
      <c r="D178" s="126" t="s">
        <v>1405</v>
      </c>
      <c r="E178" s="126" t="s">
        <v>1406</v>
      </c>
      <c r="F178" s="126" t="s">
        <v>1407</v>
      </c>
    </row>
    <row r="179" spans="3:6" x14ac:dyDescent="0.25">
      <c r="C179" s="129" t="s">
        <v>1408</v>
      </c>
      <c r="D179" s="126" t="s">
        <v>1409</v>
      </c>
      <c r="E179" s="126" t="s">
        <v>1410</v>
      </c>
      <c r="F179" s="126" t="s">
        <v>1411</v>
      </c>
    </row>
    <row r="180" spans="3:6" x14ac:dyDescent="0.25">
      <c r="C180" s="129" t="s">
        <v>1412</v>
      </c>
      <c r="D180" s="126" t="s">
        <v>1413</v>
      </c>
      <c r="E180" s="126" t="s">
        <v>1414</v>
      </c>
      <c r="F180" s="126" t="s">
        <v>1415</v>
      </c>
    </row>
    <row r="181" spans="3:6" x14ac:dyDescent="0.25">
      <c r="C181" s="129" t="s">
        <v>1416</v>
      </c>
      <c r="D181" s="126" t="s">
        <v>1417</v>
      </c>
      <c r="E181" s="126" t="s">
        <v>1418</v>
      </c>
      <c r="F181" s="126" t="s">
        <v>1419</v>
      </c>
    </row>
    <row r="182" spans="3:6" x14ac:dyDescent="0.25">
      <c r="C182" s="129" t="s">
        <v>1420</v>
      </c>
      <c r="D182" s="126" t="s">
        <v>1421</v>
      </c>
      <c r="E182" s="126" t="s">
        <v>1422</v>
      </c>
      <c r="F182" s="126" t="s">
        <v>1423</v>
      </c>
    </row>
    <row r="183" spans="3:6" x14ac:dyDescent="0.25">
      <c r="C183" s="129" t="s">
        <v>1424</v>
      </c>
      <c r="D183" s="126" t="s">
        <v>1425</v>
      </c>
      <c r="E183" s="126" t="s">
        <v>1426</v>
      </c>
      <c r="F183" s="126" t="s">
        <v>1427</v>
      </c>
    </row>
    <row r="184" spans="3:6" x14ac:dyDescent="0.25">
      <c r="C184" s="129" t="s">
        <v>1428</v>
      </c>
      <c r="D184" s="126" t="s">
        <v>1429</v>
      </c>
      <c r="E184" s="126" t="s">
        <v>1430</v>
      </c>
      <c r="F184" s="126" t="s">
        <v>1431</v>
      </c>
    </row>
    <row r="185" spans="3:6" x14ac:dyDescent="0.25">
      <c r="C185" s="129" t="s">
        <v>1432</v>
      </c>
      <c r="D185" s="126" t="s">
        <v>1433</v>
      </c>
      <c r="E185" s="126" t="s">
        <v>1434</v>
      </c>
      <c r="F185" s="126" t="s">
        <v>1435</v>
      </c>
    </row>
    <row r="186" spans="3:6" x14ac:dyDescent="0.25">
      <c r="C186" s="129" t="s">
        <v>1436</v>
      </c>
      <c r="D186" s="126" t="s">
        <v>1437</v>
      </c>
      <c r="E186" s="126" t="s">
        <v>1438</v>
      </c>
      <c r="F186" s="126" t="s">
        <v>1439</v>
      </c>
    </row>
    <row r="187" spans="3:6" x14ac:dyDescent="0.25">
      <c r="C187" s="129" t="s">
        <v>1440</v>
      </c>
      <c r="D187" s="126" t="s">
        <v>1441</v>
      </c>
      <c r="E187" s="126" t="s">
        <v>1442</v>
      </c>
      <c r="F187" s="126" t="s">
        <v>1443</v>
      </c>
    </row>
    <row r="188" spans="3:6" x14ac:dyDescent="0.25">
      <c r="C188" s="129" t="s">
        <v>1444</v>
      </c>
      <c r="D188" s="126" t="s">
        <v>1445</v>
      </c>
      <c r="E188" s="126" t="s">
        <v>1446</v>
      </c>
      <c r="F188" s="126" t="s">
        <v>1447</v>
      </c>
    </row>
    <row r="189" spans="3:6" x14ac:dyDescent="0.25">
      <c r="C189" s="129" t="s">
        <v>1448</v>
      </c>
      <c r="D189" s="126" t="s">
        <v>1449</v>
      </c>
      <c r="E189" s="126" t="s">
        <v>1450</v>
      </c>
      <c r="F189" s="126" t="s">
        <v>1451</v>
      </c>
    </row>
    <row r="190" spans="3:6" x14ac:dyDescent="0.25">
      <c r="C190" s="129" t="s">
        <v>1452</v>
      </c>
      <c r="D190" s="126" t="s">
        <v>1453</v>
      </c>
      <c r="E190" s="126" t="s">
        <v>1454</v>
      </c>
      <c r="F190" s="126" t="s">
        <v>1455</v>
      </c>
    </row>
    <row r="191" spans="3:6" x14ac:dyDescent="0.25">
      <c r="C191" s="129" t="s">
        <v>1456</v>
      </c>
      <c r="D191" s="126" t="s">
        <v>1457</v>
      </c>
      <c r="E191" s="126" t="s">
        <v>1458</v>
      </c>
      <c r="F191" s="126" t="s">
        <v>1459</v>
      </c>
    </row>
    <row r="192" spans="3:6" x14ac:dyDescent="0.25">
      <c r="C192" s="129" t="s">
        <v>1460</v>
      </c>
      <c r="D192" s="126" t="s">
        <v>1461</v>
      </c>
      <c r="E192" s="126" t="s">
        <v>1462</v>
      </c>
      <c r="F192" s="126" t="s">
        <v>1463</v>
      </c>
    </row>
    <row r="193" spans="3:6" x14ac:dyDescent="0.25">
      <c r="C193" s="129" t="s">
        <v>1464</v>
      </c>
      <c r="D193" s="126" t="s">
        <v>1465</v>
      </c>
      <c r="E193" s="126" t="s">
        <v>1466</v>
      </c>
      <c r="F193" s="126" t="s">
        <v>1467</v>
      </c>
    </row>
    <row r="194" spans="3:6" x14ac:dyDescent="0.25">
      <c r="C194" s="129" t="s">
        <v>1468</v>
      </c>
      <c r="D194" s="126" t="s">
        <v>1469</v>
      </c>
      <c r="E194" s="126" t="s">
        <v>1470</v>
      </c>
      <c r="F194" s="126" t="s">
        <v>1471</v>
      </c>
    </row>
    <row r="195" spans="3:6" x14ac:dyDescent="0.25">
      <c r="C195" s="129" t="s">
        <v>1472</v>
      </c>
      <c r="D195" s="126" t="s">
        <v>1473</v>
      </c>
      <c r="E195" s="126" t="s">
        <v>1474</v>
      </c>
      <c r="F195" s="126" t="s">
        <v>1475</v>
      </c>
    </row>
    <row r="196" spans="3:6" x14ac:dyDescent="0.25">
      <c r="C196" s="129" t="s">
        <v>1476</v>
      </c>
      <c r="D196" s="126" t="s">
        <v>1477</v>
      </c>
      <c r="E196" s="126" t="s">
        <v>1478</v>
      </c>
      <c r="F196" s="126" t="s">
        <v>1479</v>
      </c>
    </row>
    <row r="197" spans="3:6" x14ac:dyDescent="0.25">
      <c r="C197" s="129" t="s">
        <v>1480</v>
      </c>
      <c r="D197" s="126" t="s">
        <v>1481</v>
      </c>
      <c r="E197" s="126" t="s">
        <v>1482</v>
      </c>
      <c r="F197" s="126" t="s">
        <v>1483</v>
      </c>
    </row>
    <row r="198" spans="3:6" x14ac:dyDescent="0.25">
      <c r="C198" s="129" t="s">
        <v>1484</v>
      </c>
      <c r="D198" s="126" t="s">
        <v>1485</v>
      </c>
      <c r="E198" s="126" t="s">
        <v>1486</v>
      </c>
      <c r="F198" s="126" t="s">
        <v>1487</v>
      </c>
    </row>
    <row r="199" spans="3:6" x14ac:dyDescent="0.25">
      <c r="C199" s="129" t="s">
        <v>1488</v>
      </c>
      <c r="D199" s="126" t="s">
        <v>1489</v>
      </c>
      <c r="E199" s="126" t="s">
        <v>1490</v>
      </c>
      <c r="F199" s="126" t="s">
        <v>1491</v>
      </c>
    </row>
    <row r="200" spans="3:6" x14ac:dyDescent="0.25">
      <c r="C200" s="129" t="s">
        <v>1492</v>
      </c>
      <c r="D200" s="126" t="s">
        <v>1493</v>
      </c>
      <c r="E200" s="126" t="s">
        <v>1494</v>
      </c>
      <c r="F200" s="126" t="s">
        <v>1495</v>
      </c>
    </row>
    <row r="201" spans="3:6" x14ac:dyDescent="0.25">
      <c r="C201" s="129" t="s">
        <v>1496</v>
      </c>
      <c r="D201" s="126" t="s">
        <v>1497</v>
      </c>
      <c r="E201" s="126" t="s">
        <v>1498</v>
      </c>
      <c r="F201" s="126" t="s">
        <v>1499</v>
      </c>
    </row>
    <row r="202" spans="3:6" x14ac:dyDescent="0.25">
      <c r="C202" s="129" t="s">
        <v>1500</v>
      </c>
      <c r="D202" s="126" t="s">
        <v>1501</v>
      </c>
      <c r="E202" s="126" t="s">
        <v>1502</v>
      </c>
      <c r="F202" s="126" t="s">
        <v>1503</v>
      </c>
    </row>
    <row r="203" spans="3:6" x14ac:dyDescent="0.25">
      <c r="C203" s="129" t="s">
        <v>1504</v>
      </c>
      <c r="D203" s="126" t="s">
        <v>1505</v>
      </c>
      <c r="E203" s="126" t="s">
        <v>1506</v>
      </c>
      <c r="F203" s="126" t="s">
        <v>1507</v>
      </c>
    </row>
    <row r="204" spans="3:6" x14ac:dyDescent="0.25">
      <c r="C204" s="129" t="s">
        <v>1508</v>
      </c>
      <c r="D204" s="126" t="s">
        <v>1509</v>
      </c>
      <c r="E204" s="126" t="s">
        <v>1510</v>
      </c>
      <c r="F204" s="126" t="s">
        <v>1511</v>
      </c>
    </row>
    <row r="205" spans="3:6" x14ac:dyDescent="0.25">
      <c r="C205" s="129" t="s">
        <v>1512</v>
      </c>
      <c r="D205" s="126" t="s">
        <v>1513</v>
      </c>
      <c r="E205" s="126" t="s">
        <v>1514</v>
      </c>
      <c r="F205" s="126" t="s">
        <v>1515</v>
      </c>
    </row>
    <row r="206" spans="3:6" x14ac:dyDescent="0.25">
      <c r="C206" s="129" t="s">
        <v>1516</v>
      </c>
      <c r="D206" s="126" t="s">
        <v>1517</v>
      </c>
      <c r="E206" s="126" t="s">
        <v>1518</v>
      </c>
      <c r="F206" s="126" t="s">
        <v>1519</v>
      </c>
    </row>
    <row r="207" spans="3:6" x14ac:dyDescent="0.25">
      <c r="C207" s="129" t="s">
        <v>1520</v>
      </c>
      <c r="D207" s="126" t="s">
        <v>1521</v>
      </c>
      <c r="E207" s="126" t="s">
        <v>1522</v>
      </c>
      <c r="F207" s="126" t="s">
        <v>1523</v>
      </c>
    </row>
    <row r="208" spans="3:6" x14ac:dyDescent="0.25">
      <c r="C208" s="129" t="s">
        <v>1524</v>
      </c>
      <c r="D208" s="126" t="s">
        <v>1525</v>
      </c>
      <c r="E208" s="126" t="s">
        <v>1526</v>
      </c>
      <c r="F208" s="126" t="s">
        <v>1527</v>
      </c>
    </row>
    <row r="209" spans="3:6" x14ac:dyDescent="0.25">
      <c r="C209" s="129" t="s">
        <v>1528</v>
      </c>
      <c r="D209" s="126" t="s">
        <v>1529</v>
      </c>
      <c r="E209" s="126" t="s">
        <v>1530</v>
      </c>
      <c r="F209" s="126" t="s">
        <v>1531</v>
      </c>
    </row>
    <row r="210" spans="3:6" x14ac:dyDescent="0.25">
      <c r="C210" s="129" t="s">
        <v>1532</v>
      </c>
      <c r="D210" s="126" t="s">
        <v>1533</v>
      </c>
      <c r="E210" s="126" t="s">
        <v>1534</v>
      </c>
      <c r="F210" s="126" t="s">
        <v>1535</v>
      </c>
    </row>
    <row r="211" spans="3:6" x14ac:dyDescent="0.25">
      <c r="C211" s="129" t="s">
        <v>1536</v>
      </c>
      <c r="D211" s="126" t="s">
        <v>1537</v>
      </c>
      <c r="E211" s="126" t="s">
        <v>1538</v>
      </c>
      <c r="F211" s="126" t="s">
        <v>1539</v>
      </c>
    </row>
    <row r="212" spans="3:6" x14ac:dyDescent="0.25">
      <c r="C212" s="129" t="s">
        <v>1540</v>
      </c>
      <c r="D212" s="126" t="s">
        <v>1541</v>
      </c>
      <c r="E212" s="126" t="s">
        <v>1542</v>
      </c>
      <c r="F212" s="126" t="s">
        <v>1543</v>
      </c>
    </row>
    <row r="213" spans="3:6" x14ac:dyDescent="0.25">
      <c r="C213" s="129" t="s">
        <v>1544</v>
      </c>
      <c r="D213" s="126" t="s">
        <v>1545</v>
      </c>
      <c r="E213" s="126" t="s">
        <v>1546</v>
      </c>
      <c r="F213" s="126" t="s">
        <v>1547</v>
      </c>
    </row>
    <row r="214" spans="3:6" x14ac:dyDescent="0.25">
      <c r="C214" s="129" t="s">
        <v>1548</v>
      </c>
      <c r="D214" s="126" t="s">
        <v>1549</v>
      </c>
      <c r="E214" s="126" t="s">
        <v>1550</v>
      </c>
      <c r="F214" s="126" t="s">
        <v>1551</v>
      </c>
    </row>
    <row r="215" spans="3:6" x14ac:dyDescent="0.25">
      <c r="C215" s="129" t="s">
        <v>1552</v>
      </c>
      <c r="D215" s="126" t="s">
        <v>1553</v>
      </c>
      <c r="E215" s="126" t="s">
        <v>1554</v>
      </c>
      <c r="F215" s="126" t="s">
        <v>1555</v>
      </c>
    </row>
    <row r="216" spans="3:6" x14ac:dyDescent="0.25">
      <c r="C216" s="129" t="s">
        <v>1556</v>
      </c>
      <c r="D216" s="126" t="s">
        <v>1557</v>
      </c>
      <c r="E216" s="126" t="s">
        <v>1558</v>
      </c>
      <c r="F216" s="126" t="s">
        <v>1559</v>
      </c>
    </row>
    <row r="217" spans="3:6" x14ac:dyDescent="0.25">
      <c r="C217" s="129" t="s">
        <v>1560</v>
      </c>
      <c r="D217" s="126" t="s">
        <v>1561</v>
      </c>
      <c r="E217" s="126" t="s">
        <v>1562</v>
      </c>
      <c r="F217" s="126" t="s">
        <v>1563</v>
      </c>
    </row>
    <row r="218" spans="3:6" x14ac:dyDescent="0.25">
      <c r="C218" s="129" t="s">
        <v>1564</v>
      </c>
      <c r="D218" s="126" t="s">
        <v>1565</v>
      </c>
      <c r="E218" s="126" t="s">
        <v>1566</v>
      </c>
      <c r="F218" s="126" t="s">
        <v>1567</v>
      </c>
    </row>
    <row r="219" spans="3:6" x14ac:dyDescent="0.25">
      <c r="C219" s="129" t="s">
        <v>1568</v>
      </c>
      <c r="D219" s="126" t="s">
        <v>1569</v>
      </c>
      <c r="E219" s="126" t="s">
        <v>1570</v>
      </c>
      <c r="F219" s="126" t="s">
        <v>1571</v>
      </c>
    </row>
    <row r="220" spans="3:6" x14ac:dyDescent="0.25">
      <c r="C220" s="129" t="s">
        <v>1572</v>
      </c>
      <c r="D220" s="126" t="s">
        <v>1573</v>
      </c>
      <c r="E220" s="126" t="s">
        <v>1574</v>
      </c>
      <c r="F220" s="126" t="s">
        <v>1575</v>
      </c>
    </row>
    <row r="221" spans="3:6" x14ac:dyDescent="0.25">
      <c r="C221" s="129" t="s">
        <v>1576</v>
      </c>
      <c r="D221" s="126" t="s">
        <v>1577</v>
      </c>
      <c r="E221" s="126" t="s">
        <v>1578</v>
      </c>
      <c r="F221" s="126" t="s">
        <v>1579</v>
      </c>
    </row>
    <row r="222" spans="3:6" x14ac:dyDescent="0.25">
      <c r="C222" s="129" t="s">
        <v>1580</v>
      </c>
      <c r="D222" s="126" t="s">
        <v>1581</v>
      </c>
      <c r="E222" s="126" t="s">
        <v>1582</v>
      </c>
      <c r="F222" s="126" t="s">
        <v>1583</v>
      </c>
    </row>
    <row r="223" spans="3:6" x14ac:dyDescent="0.25">
      <c r="C223" s="129" t="s">
        <v>1584</v>
      </c>
      <c r="D223" s="126" t="s">
        <v>1585</v>
      </c>
      <c r="E223" s="126" t="s">
        <v>1586</v>
      </c>
      <c r="F223" s="126" t="s">
        <v>1587</v>
      </c>
    </row>
    <row r="224" spans="3:6" x14ac:dyDescent="0.25">
      <c r="C224" s="129" t="s">
        <v>1588</v>
      </c>
      <c r="D224" s="126" t="s">
        <v>1589</v>
      </c>
      <c r="E224" s="126" t="s">
        <v>1590</v>
      </c>
      <c r="F224" s="126" t="s">
        <v>1591</v>
      </c>
    </row>
    <row r="225" spans="3:6" x14ac:dyDescent="0.25">
      <c r="C225" s="129" t="s">
        <v>1592</v>
      </c>
      <c r="D225" s="126" t="s">
        <v>1593</v>
      </c>
      <c r="E225" s="126" t="s">
        <v>1594</v>
      </c>
      <c r="F225" s="126" t="s">
        <v>1595</v>
      </c>
    </row>
    <row r="226" spans="3:6" x14ac:dyDescent="0.25">
      <c r="C226" s="129" t="s">
        <v>1596</v>
      </c>
      <c r="D226" s="126" t="s">
        <v>1597</v>
      </c>
      <c r="E226" s="126" t="s">
        <v>1598</v>
      </c>
      <c r="F226" s="126" t="s">
        <v>1599</v>
      </c>
    </row>
    <row r="227" spans="3:6" x14ac:dyDescent="0.25">
      <c r="C227" s="129" t="s">
        <v>1600</v>
      </c>
      <c r="D227" s="126" t="s">
        <v>1601</v>
      </c>
      <c r="E227" s="126" t="s">
        <v>1602</v>
      </c>
      <c r="F227" s="126" t="s">
        <v>1603</v>
      </c>
    </row>
    <row r="228" spans="3:6" x14ac:dyDescent="0.25">
      <c r="C228" s="129" t="s">
        <v>1604</v>
      </c>
      <c r="D228" s="126" t="s">
        <v>1605</v>
      </c>
      <c r="E228" s="126" t="s">
        <v>1606</v>
      </c>
      <c r="F228" s="126" t="s">
        <v>1607</v>
      </c>
    </row>
    <row r="229" spans="3:6" x14ac:dyDescent="0.25">
      <c r="C229" s="129" t="s">
        <v>1608</v>
      </c>
      <c r="D229" s="126" t="s">
        <v>1609</v>
      </c>
      <c r="E229" s="126" t="s">
        <v>1610</v>
      </c>
      <c r="F229" s="126" t="s">
        <v>1611</v>
      </c>
    </row>
    <row r="230" spans="3:6" x14ac:dyDescent="0.25">
      <c r="C230" s="129" t="s">
        <v>1612</v>
      </c>
      <c r="D230" s="126" t="s">
        <v>1613</v>
      </c>
      <c r="E230" s="126" t="s">
        <v>1614</v>
      </c>
      <c r="F230" s="126" t="s">
        <v>1615</v>
      </c>
    </row>
    <row r="231" spans="3:6" x14ac:dyDescent="0.25">
      <c r="C231" s="129" t="s">
        <v>1616</v>
      </c>
      <c r="D231" s="126" t="s">
        <v>1617</v>
      </c>
      <c r="E231" s="126" t="s">
        <v>1618</v>
      </c>
      <c r="F231" s="126" t="s">
        <v>1619</v>
      </c>
    </row>
    <row r="232" spans="3:6" x14ac:dyDescent="0.25">
      <c r="C232" s="129" t="s">
        <v>1620</v>
      </c>
      <c r="D232" s="126" t="s">
        <v>1621</v>
      </c>
      <c r="E232" s="126" t="s">
        <v>1622</v>
      </c>
      <c r="F232" s="126" t="s">
        <v>1623</v>
      </c>
    </row>
    <row r="233" spans="3:6" x14ac:dyDescent="0.25">
      <c r="C233" s="129" t="s">
        <v>1624</v>
      </c>
      <c r="D233" s="126" t="s">
        <v>1625</v>
      </c>
      <c r="E233" s="126" t="s">
        <v>1626</v>
      </c>
      <c r="F233" s="126" t="s">
        <v>1627</v>
      </c>
    </row>
    <row r="234" spans="3:6" x14ac:dyDescent="0.25">
      <c r="C234" s="129" t="s">
        <v>1628</v>
      </c>
      <c r="D234" s="126" t="s">
        <v>1629</v>
      </c>
      <c r="E234" s="126" t="s">
        <v>1630</v>
      </c>
      <c r="F234" s="126" t="s">
        <v>1631</v>
      </c>
    </row>
    <row r="235" spans="3:6" x14ac:dyDescent="0.25">
      <c r="C235" s="129" t="s">
        <v>1632</v>
      </c>
      <c r="D235" s="126" t="s">
        <v>1633</v>
      </c>
      <c r="E235" s="126" t="s">
        <v>1634</v>
      </c>
      <c r="F235" s="126" t="s">
        <v>1635</v>
      </c>
    </row>
    <row r="236" spans="3:6" x14ac:dyDescent="0.25">
      <c r="C236" s="129" t="s">
        <v>1636</v>
      </c>
      <c r="D236" s="126" t="s">
        <v>1637</v>
      </c>
      <c r="E236" s="126" t="s">
        <v>1638</v>
      </c>
      <c r="F236" s="126" t="s">
        <v>1639</v>
      </c>
    </row>
    <row r="237" spans="3:6" x14ac:dyDescent="0.25">
      <c r="C237" s="129" t="s">
        <v>1640</v>
      </c>
      <c r="D237" s="126" t="s">
        <v>1641</v>
      </c>
      <c r="E237" s="126" t="s">
        <v>1642</v>
      </c>
      <c r="F237" s="126" t="s">
        <v>1643</v>
      </c>
    </row>
    <row r="238" spans="3:6" x14ac:dyDescent="0.25">
      <c r="C238" s="129" t="s">
        <v>1644</v>
      </c>
      <c r="D238" s="126" t="s">
        <v>1645</v>
      </c>
      <c r="E238" s="126" t="s">
        <v>1646</v>
      </c>
      <c r="F238" s="126" t="s">
        <v>1647</v>
      </c>
    </row>
    <row r="239" spans="3:6" x14ac:dyDescent="0.25">
      <c r="C239" s="129" t="s">
        <v>1648</v>
      </c>
      <c r="D239" s="126" t="s">
        <v>1649</v>
      </c>
      <c r="E239" s="126" t="s">
        <v>1650</v>
      </c>
      <c r="F239" s="126" t="s">
        <v>1651</v>
      </c>
    </row>
    <row r="240" spans="3:6" x14ac:dyDescent="0.25">
      <c r="C240" s="129" t="s">
        <v>1652</v>
      </c>
      <c r="D240" s="126" t="s">
        <v>1653</v>
      </c>
      <c r="E240" s="126" t="s">
        <v>1654</v>
      </c>
      <c r="F240" s="126" t="s">
        <v>1655</v>
      </c>
    </row>
    <row r="241" spans="3:6" x14ac:dyDescent="0.25">
      <c r="C241" s="129" t="s">
        <v>1656</v>
      </c>
      <c r="D241" s="126" t="s">
        <v>1657</v>
      </c>
      <c r="E241" s="126" t="s">
        <v>1658</v>
      </c>
      <c r="F241" s="126" t="s">
        <v>1659</v>
      </c>
    </row>
    <row r="242" spans="3:6" x14ac:dyDescent="0.25">
      <c r="C242" s="129" t="s">
        <v>1660</v>
      </c>
      <c r="D242" s="126" t="s">
        <v>1661</v>
      </c>
      <c r="E242" s="126" t="s">
        <v>1662</v>
      </c>
      <c r="F242" s="126" t="s">
        <v>1663</v>
      </c>
    </row>
    <row r="243" spans="3:6" x14ac:dyDescent="0.25">
      <c r="C243" s="129" t="s">
        <v>1664</v>
      </c>
      <c r="D243" s="126" t="s">
        <v>1665</v>
      </c>
      <c r="E243" s="126" t="s">
        <v>1666</v>
      </c>
      <c r="F243" s="126" t="s">
        <v>1667</v>
      </c>
    </row>
    <row r="244" spans="3:6" x14ac:dyDescent="0.25">
      <c r="C244" s="129" t="s">
        <v>1668</v>
      </c>
      <c r="D244" s="126" t="s">
        <v>1669</v>
      </c>
      <c r="E244" s="126" t="s">
        <v>1670</v>
      </c>
      <c r="F244" s="126" t="s">
        <v>1671</v>
      </c>
    </row>
    <row r="245" spans="3:6" x14ac:dyDescent="0.25">
      <c r="C245" s="129" t="s">
        <v>1672</v>
      </c>
      <c r="D245" s="126" t="s">
        <v>1673</v>
      </c>
      <c r="E245" s="126" t="s">
        <v>1674</v>
      </c>
      <c r="F245" s="126" t="s">
        <v>1675</v>
      </c>
    </row>
    <row r="246" spans="3:6" x14ac:dyDescent="0.25">
      <c r="C246" s="129" t="s">
        <v>1676</v>
      </c>
      <c r="D246" s="126" t="s">
        <v>1677</v>
      </c>
      <c r="E246" s="126" t="s">
        <v>1678</v>
      </c>
      <c r="F246" s="126" t="s">
        <v>1679</v>
      </c>
    </row>
    <row r="247" spans="3:6" x14ac:dyDescent="0.25">
      <c r="C247" s="129" t="s">
        <v>1680</v>
      </c>
      <c r="D247" s="126" t="s">
        <v>1681</v>
      </c>
      <c r="E247" s="126" t="s">
        <v>1682</v>
      </c>
      <c r="F247" s="126" t="s">
        <v>1683</v>
      </c>
    </row>
    <row r="248" spans="3:6" x14ac:dyDescent="0.25">
      <c r="C248" s="129" t="s">
        <v>1684</v>
      </c>
      <c r="D248" s="126" t="s">
        <v>1685</v>
      </c>
      <c r="E248" s="126" t="s">
        <v>1686</v>
      </c>
      <c r="F248" s="126" t="s">
        <v>1687</v>
      </c>
    </row>
    <row r="249" spans="3:6" x14ac:dyDescent="0.25">
      <c r="C249" s="129" t="s">
        <v>1688</v>
      </c>
      <c r="D249" s="126" t="s">
        <v>1689</v>
      </c>
      <c r="E249" s="126" t="s">
        <v>1690</v>
      </c>
      <c r="F249" s="126" t="s">
        <v>1691</v>
      </c>
    </row>
    <row r="250" spans="3:6" x14ac:dyDescent="0.25">
      <c r="C250" s="129" t="s">
        <v>1692</v>
      </c>
      <c r="D250" s="126" t="s">
        <v>1693</v>
      </c>
      <c r="E250" s="126" t="s">
        <v>1694</v>
      </c>
      <c r="F250" s="126" t="s">
        <v>1695</v>
      </c>
    </row>
    <row r="251" spans="3:6" x14ac:dyDescent="0.25">
      <c r="C251" s="129" t="s">
        <v>1696</v>
      </c>
      <c r="D251" s="126" t="s">
        <v>1697</v>
      </c>
      <c r="E251" s="126" t="s">
        <v>1698</v>
      </c>
      <c r="F251" s="126" t="s">
        <v>1699</v>
      </c>
    </row>
    <row r="252" spans="3:6" x14ac:dyDescent="0.25">
      <c r="C252" s="129" t="s">
        <v>1700</v>
      </c>
      <c r="D252" s="126" t="s">
        <v>1701</v>
      </c>
      <c r="E252" s="126" t="s">
        <v>1702</v>
      </c>
      <c r="F252" s="126" t="s">
        <v>1703</v>
      </c>
    </row>
    <row r="253" spans="3:6" x14ac:dyDescent="0.25">
      <c r="C253" s="129" t="s">
        <v>1704</v>
      </c>
      <c r="D253" s="126" t="s">
        <v>1705</v>
      </c>
      <c r="E253" s="126" t="s">
        <v>1706</v>
      </c>
      <c r="F253" s="126" t="s">
        <v>1707</v>
      </c>
    </row>
    <row r="254" spans="3:6" x14ac:dyDescent="0.25">
      <c r="C254" s="129" t="s">
        <v>1708</v>
      </c>
      <c r="D254" s="126" t="s">
        <v>1709</v>
      </c>
      <c r="E254" s="126" t="s">
        <v>1710</v>
      </c>
      <c r="F254" s="126" t="s">
        <v>1711</v>
      </c>
    </row>
    <row r="255" spans="3:6" x14ac:dyDescent="0.25">
      <c r="C255" s="129" t="s">
        <v>1712</v>
      </c>
      <c r="D255" s="126" t="s">
        <v>1713</v>
      </c>
      <c r="E255" s="126" t="s">
        <v>1714</v>
      </c>
      <c r="F255" s="126" t="s">
        <v>1715</v>
      </c>
    </row>
    <row r="256" spans="3:6" x14ac:dyDescent="0.25">
      <c r="C256" s="129" t="s">
        <v>1716</v>
      </c>
      <c r="D256" s="126" t="s">
        <v>1717</v>
      </c>
      <c r="E256" s="126" t="s">
        <v>1718</v>
      </c>
      <c r="F256" s="126" t="s">
        <v>1719</v>
      </c>
    </row>
    <row r="257" spans="3:6" ht="15.75" thickBot="1" x14ac:dyDescent="0.3">
      <c r="C257" s="130" t="s">
        <v>1720</v>
      </c>
      <c r="D257" s="127" t="s">
        <v>1721</v>
      </c>
      <c r="E257" s="127" t="s">
        <v>1722</v>
      </c>
      <c r="F257" s="127" t="s">
        <v>1723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406</vt:i4>
      </vt:variant>
    </vt:vector>
  </HeadingPairs>
  <TitlesOfParts>
    <vt:vector size="411" baseType="lpstr">
      <vt:lpstr>User Input Param Range_Scaling</vt:lpstr>
      <vt:lpstr>pmsm_foc_config.h</vt:lpstr>
      <vt:lpstr>pmsm_foc_const.h</vt:lpstr>
      <vt:lpstr>mcuhw_param</vt:lpstr>
      <vt:lpstr>6EDL7141_CONFIG_MACRO</vt:lpstr>
      <vt:lpstr>ADC_TRIGGER_DELAY</vt:lpstr>
      <vt:lpstr>BOOTSTRAP_BRAKE_TIME</vt:lpstr>
      <vt:lpstr>BOOTSTRAP_PRECHARGE_TIME_MS</vt:lpstr>
      <vt:lpstr>BOTH_OFF</vt:lpstr>
      <vt:lpstr>BOTH_ON</vt:lpstr>
      <vt:lpstr>BRAKE_MIN_SPEED</vt:lpstr>
      <vt:lpstr>BSC007N04N04LS6_1X</vt:lpstr>
      <vt:lpstr>BSC007N04N04LS6_2X</vt:lpstr>
      <vt:lpstr>BSC030N08NS5_2X</vt:lpstr>
      <vt:lpstr>BY_POT_ONLY</vt:lpstr>
      <vt:lpstr>CCU8_DEADTIME_FALL</vt:lpstr>
      <vt:lpstr>CCU8_DEADTIME_RISE</vt:lpstr>
      <vt:lpstr>CCU8_MODULE_NUM</vt:lpstr>
      <vt:lpstr>CCU8_PERIOD_REG</vt:lpstr>
      <vt:lpstr>CCU8_SLICE_ADC_TR</vt:lpstr>
      <vt:lpstr>CCU8_SLICE_PHASE_U_NUM</vt:lpstr>
      <vt:lpstr>CCU8_SLICE_PHASE_V_NUM</vt:lpstr>
      <vt:lpstr>CCU8_SLICE_PHASE_W_NUM</vt:lpstr>
      <vt:lpstr>COASTING_PRECHARGE_TIME</vt:lpstr>
      <vt:lpstr>COASTING_PRECHARGE_TIME_MS</vt:lpstr>
      <vt:lpstr>CONVERT_SPEED_TO_RPM</vt:lpstr>
      <vt:lpstr>CORDIC_CIRCULAR_MPS_BY_K_SCALED</vt:lpstr>
      <vt:lpstr>CORDIC_CIRCULAR_ROTATION_MODE</vt:lpstr>
      <vt:lpstr>CORDIC_CIRCULAR_VECTORING_MODE</vt:lpstr>
      <vt:lpstr>CORDIC_HYPERBOLIC_MPS_BY_K_SCALED</vt:lpstr>
      <vt:lpstr>CORDIC_HYPERBOLIC_VECTORING_MODE</vt:lpstr>
      <vt:lpstr>CORDIC_MPS_BY_K_SCALE</vt:lpstr>
      <vt:lpstr>CSOPAMP_SETTLING_TIME</vt:lpstr>
      <vt:lpstr>CSOPAMP_SETTLING_TIME_US</vt:lpstr>
      <vt:lpstr>DC_LINK_CURRENT_SENSE</vt:lpstr>
      <vt:lpstr>DC_LINK_DIVIDER_RATIO</vt:lpstr>
      <vt:lpstr>DC_LINK_R1</vt:lpstr>
      <vt:lpstr>DC_LINK_R2</vt:lpstr>
      <vt:lpstr>DEAD_TIME_COMPENSATION_RATIO</vt:lpstr>
      <vt:lpstr>DEAD_TIME_STALL_FLAG_COMPENSATION</vt:lpstr>
      <vt:lpstr>DIRECTION_DEC</vt:lpstr>
      <vt:lpstr>DIRECTION_INC</vt:lpstr>
      <vt:lpstr>DISABLED</vt:lpstr>
      <vt:lpstr>DRIVER_SHUTDOWN_DELAY_COUNT</vt:lpstr>
      <vt:lpstr>DT_COMPENSATION_V_INT</vt:lpstr>
      <vt:lpstr>E_BIKE_GEAR_RATIO</vt:lpstr>
      <vt:lpstr>E_BIKE_IQ_RAMP_DOWN_STEP</vt:lpstr>
      <vt:lpstr>E_BIKE_IQ_RAMP_DOWN_STEP_A_SEC</vt:lpstr>
      <vt:lpstr>E_BIKE_POWER_BASE</vt:lpstr>
      <vt:lpstr>E_Bike_power_max</vt:lpstr>
      <vt:lpstr>E_BIKE_POWER_RAW</vt:lpstr>
      <vt:lpstr>E_BIKE_POWER_RAW_SCALE_UP</vt:lpstr>
      <vt:lpstr>E_BIKE_RAMP_DOWN_STEP_A</vt:lpstr>
      <vt:lpstr>E_BIKE_RAMP_STEP_TIME_FCL_COUNT</vt:lpstr>
      <vt:lpstr>E_BIKE_REF</vt:lpstr>
      <vt:lpstr>E_BIKE_SCALE_OF_MAX_TORQUE_IQ</vt:lpstr>
      <vt:lpstr>E_BIKE_SPEED_LIMIT_KM_H</vt:lpstr>
      <vt:lpstr>E_BIKE_SPEED_LIMIT_RAD_S</vt:lpstr>
      <vt:lpstr>E_BIKE_SPEED_LIMIT_RPM</vt:lpstr>
      <vt:lpstr>E_BIKE_WHEEL_RADIUS</vt:lpstr>
      <vt:lpstr>E_ECO_GAIN_CONST</vt:lpstr>
      <vt:lpstr>E_ECO_SCALE_OF_T</vt:lpstr>
      <vt:lpstr>E_ECO_T_RAW</vt:lpstr>
      <vt:lpstr>E_ECO_T_RAW_2</vt:lpstr>
      <vt:lpstr>E_ECO_T_SCALEDUP</vt:lpstr>
      <vt:lpstr>E_INPUT_T_MAX</vt:lpstr>
      <vt:lpstr>E_INPUT_V_MAX</vt:lpstr>
      <vt:lpstr>E_K_CONST</vt:lpstr>
      <vt:lpstr>E_KI</vt:lpstr>
      <vt:lpstr>E_NORMAL_GAIN_CONST</vt:lpstr>
      <vt:lpstr>E_NORMAL_SCALE_OF_T</vt:lpstr>
      <vt:lpstr>E_NORMAL_T_RAW</vt:lpstr>
      <vt:lpstr>E_NORMAL_T_RAW_2</vt:lpstr>
      <vt:lpstr>E_NORMAL_T_SCALEDUP</vt:lpstr>
      <vt:lpstr>E_POT_R1</vt:lpstr>
      <vt:lpstr>E_POT_R2</vt:lpstr>
      <vt:lpstr>E_SPORT_GAIN_CONST</vt:lpstr>
      <vt:lpstr>E_SPORT_SCALE_OF_T</vt:lpstr>
      <vt:lpstr>E_SPORT_T_RAW</vt:lpstr>
      <vt:lpstr>E_SPORT_T_RAW_2</vt:lpstr>
      <vt:lpstr>E_SPORT_T_SCALEDUP</vt:lpstr>
      <vt:lpstr>E_TORQUE_CONST</vt:lpstr>
      <vt:lpstr>ECO_GAIN_CONST</vt:lpstr>
      <vt:lpstr>ELECTRICAL_SPEED_HIGH_LIMIT_TS</vt:lpstr>
      <vt:lpstr>ELECTRICAL_SPEED_LOW_LIMIT_TS</vt:lpstr>
      <vt:lpstr>ENABLED</vt:lpstr>
      <vt:lpstr>focParameters</vt:lpstr>
      <vt:lpstr>FW_DISABLE_IQ_LIMIT</vt:lpstr>
      <vt:lpstr>FW_ID_REF_NEG_MAX</vt:lpstr>
      <vt:lpstr>FW_ID_REF_RATIO_Q15</vt:lpstr>
      <vt:lpstr>FW_MAX_VREF</vt:lpstr>
      <vt:lpstr>GATE_DRIVER_IC_PROPOGATION_DELAY_US</vt:lpstr>
      <vt:lpstr>GD_CSOPAMP_GAIN</vt:lpstr>
      <vt:lpstr>GDRIVER_IC_DELAY</vt:lpstr>
      <vt:lpstr>HALL_CLK_FREQ</vt:lpstr>
      <vt:lpstr>HALL_CLK_PRE_SCALE</vt:lpstr>
      <vt:lpstr>HALL_OFFSET_COMPENSATION_ANGLE_DEG</vt:lpstr>
      <vt:lpstr>HALL_OFFSET_COMPENSATION_ANGLE_INIT</vt:lpstr>
      <vt:lpstr>HALL_RAD_PER_PWM_RES_INC_FACTOR</vt:lpstr>
      <vt:lpstr>HALL_SEC__PWM_CYCLE_CONV</vt:lpstr>
      <vt:lpstr>HIGH_ON</vt:lpstr>
      <vt:lpstr>I_MAX_A</vt:lpstr>
      <vt:lpstr>IMD700A</vt:lpstr>
      <vt:lpstr>IMD700A_DVDD_3_3_V</vt:lpstr>
      <vt:lpstr>IMD700A_DVDD_5_0_V</vt:lpstr>
      <vt:lpstr>IPD_SENSE_CCU8_CURRENT_DECAY_COUNT</vt:lpstr>
      <vt:lpstr>IPD_SENSE_CCU8_PULSE_WIDTH_COUNT</vt:lpstr>
      <vt:lpstr>IPD_SENSE_PRESCALAR_VAL</vt:lpstr>
      <vt:lpstr>IQ_LIMIT_BLANKING_TIME</vt:lpstr>
      <vt:lpstr>IQ_RAMP_DOWN_STEP</vt:lpstr>
      <vt:lpstr>IQ_RAMP_STEP_TIME_FCL_COUNT</vt:lpstr>
      <vt:lpstr>IQ_RAMP_UP_STEP</vt:lpstr>
      <vt:lpstr>IQ_REF_HIGH_LIMIT</vt:lpstr>
      <vt:lpstr>IQ_REF_LOW_LIMIT</vt:lpstr>
      <vt:lpstr>IS_GPIO_HIGH</vt:lpstr>
      <vt:lpstr>IS_GPIO_LOW</vt:lpstr>
      <vt:lpstr>Ki</vt:lpstr>
      <vt:lpstr>KpHallPLL</vt:lpstr>
      <vt:lpstr>KpHallPLL_DEC</vt:lpstr>
      <vt:lpstr>KpHallPLL_SCALE</vt:lpstr>
      <vt:lpstr>LIMIT_MAX_IQ</vt:lpstr>
      <vt:lpstr>LIMIT_MAX_IS</vt:lpstr>
      <vt:lpstr>LOW_ON</vt:lpstr>
      <vt:lpstr>LQ_RAW</vt:lpstr>
      <vt:lpstr>MAX_ASSIST_TORQUE_LIMIT_EN_DIS</vt:lpstr>
      <vt:lpstr>MAX_POWER_LIMIT_EN_DIS</vt:lpstr>
      <vt:lpstr>MICRIUM_UC_ONLY</vt:lpstr>
      <vt:lpstr>MOTOR_FLUX_LINKAGE_CONSTANT</vt:lpstr>
      <vt:lpstr>MOTOR_LD_SCALEDUP</vt:lpstr>
      <vt:lpstr>MOTOR_LQ_SCALEDUP</vt:lpstr>
      <vt:lpstr>MOTOR_LS_X_PWMFREQ_SCALEUP</vt:lpstr>
      <vt:lpstr>MOTOR_MAX_SPEED_T_RAW</vt:lpstr>
      <vt:lpstr>MOTOR_PHASE_CURRENT_SENSE</vt:lpstr>
      <vt:lpstr>MOTOR_R_SCALEDUP</vt:lpstr>
      <vt:lpstr>MOTOR_SCALE_OF_FLUX_LINKAGE_CONSTANT</vt:lpstr>
      <vt:lpstr>MOTOR_SCALE_OF_L</vt:lpstr>
      <vt:lpstr>MOTOR_SCALE_OF_LS_X_PWMFREQ</vt:lpstr>
      <vt:lpstr>MOTOR_SCALE_OF_R</vt:lpstr>
      <vt:lpstr>MOTOR_STARTUP_DIRECT_FOC</vt:lpstr>
      <vt:lpstr>MOTOR_STARTUP_VF_OPEN_LOOP</vt:lpstr>
      <vt:lpstr>MOTOR_STOP_COASTING</vt:lpstr>
      <vt:lpstr>MOTOR_STOP_LOW_SIDE_BRAKE</vt:lpstr>
      <vt:lpstr>N_eRotorAngle_rad</vt:lpstr>
      <vt:lpstr>N_eRotorAngle_T</vt:lpstr>
      <vt:lpstr>N_eSpeed_rad_FCL</vt:lpstr>
      <vt:lpstr>N_eSpeed_T</vt:lpstr>
      <vt:lpstr>N_I_A</vt:lpstr>
      <vt:lpstr>N_V_V</vt:lpstr>
      <vt:lpstr>NOR_GAIN_CONST</vt:lpstr>
      <vt:lpstr>NORMAL_GAIN_CONST</vt:lpstr>
      <vt:lpstr>OCP_LEVEL</vt:lpstr>
      <vt:lpstr>OCP_LEVEL_TIME</vt:lpstr>
      <vt:lpstr>PI_FLUX_IK_LIMIT_MAX</vt:lpstr>
      <vt:lpstr>PI_FLUX_IK_LIMIT_MIN</vt:lpstr>
      <vt:lpstr>PI_FLUX_KI</vt:lpstr>
      <vt:lpstr>PI_FLUX_KP</vt:lpstr>
      <vt:lpstr>PI_FLUX_SCALE_KPKI</vt:lpstr>
      <vt:lpstr>PI_FLUX_UK_LIMIT_MAX</vt:lpstr>
      <vt:lpstr>PI_FLUX_UK_LIMIT_MIN</vt:lpstr>
      <vt:lpstr>PI_FW_IK_LIMIT_MAX</vt:lpstr>
      <vt:lpstr>PI_FW_IK_LIMIT_MIN</vt:lpstr>
      <vt:lpstr>PI_FW_KI</vt:lpstr>
      <vt:lpstr>PI_FW_KP</vt:lpstr>
      <vt:lpstr>PI_FW_SCALE_KPKI</vt:lpstr>
      <vt:lpstr>PI_FW_UK_LIMIT_MAX</vt:lpstr>
      <vt:lpstr>PI_FW_UK_LIMIT_MIN</vt:lpstr>
      <vt:lpstr>PI_SPEED_IK_LIMIT_MAX</vt:lpstr>
      <vt:lpstr>PI_SPEED_IK_LIMIT_MIN</vt:lpstr>
      <vt:lpstr>PI_SPEED_KI</vt:lpstr>
      <vt:lpstr>PI_SPEED_KP</vt:lpstr>
      <vt:lpstr>PI_SPEED_SCALE_KPKI</vt:lpstr>
      <vt:lpstr>PI_SPEED_UK_LIMIT_MAX</vt:lpstr>
      <vt:lpstr>PI_SPEED_UK_LIMIT_MIN</vt:lpstr>
      <vt:lpstr>PI_TORQUE_IK_LIMIT_MAX</vt:lpstr>
      <vt:lpstr>PI_TORQUE_IK_LIMIT_MIN</vt:lpstr>
      <vt:lpstr>PI_TORQUE_KI</vt:lpstr>
      <vt:lpstr>PI_TORQUE_KP</vt:lpstr>
      <vt:lpstr>PI_TORQUE_SCALE_KPKI</vt:lpstr>
      <vt:lpstr>PI_TORQUE_UK_LIMIT_MAX</vt:lpstr>
      <vt:lpstr>PI_TORQUE_UK_LIMIT_MIN</vt:lpstr>
      <vt:lpstr>PMSM_FOC_ANGLE_000_DEGREE_Q31</vt:lpstr>
      <vt:lpstr>PMSM_FOC_ANGLE_030_DEGREE_Q31</vt:lpstr>
      <vt:lpstr>PMSM_FOC_ANGLE_060_DEGREE_Q31</vt:lpstr>
      <vt:lpstr>PMSM_FOC_ANGLE_090_DEGREE_Q31</vt:lpstr>
      <vt:lpstr>PMSM_FOC_ANGLE_120_DEGREE_Q31</vt:lpstr>
      <vt:lpstr>PMSM_FOC_ANGLE_150_DEGREE_Q31</vt:lpstr>
      <vt:lpstr>PMSM_FOC_ANGLE_180_DEGREE_Q31</vt:lpstr>
      <vt:lpstr>PMSM_FOC_ANGLE_210_DEGREE_Q31</vt:lpstr>
      <vt:lpstr>PMSM_FOC_ANGLE_240_DEGREE_Q31</vt:lpstr>
      <vt:lpstr>PMSM_FOC_ANGLE_270_DEGREE_Q31</vt:lpstr>
      <vt:lpstr>PMSM_FOC_ANGLE_300_DEGREE_Q31</vt:lpstr>
      <vt:lpstr>PMSM_FOC_ANGLE_330_DEGREE_Q31</vt:lpstr>
      <vt:lpstr>PMSM_FOC_ANGLE_INVALID</vt:lpstr>
      <vt:lpstr>PMSM_FOC_CCU4_SYNC_START</vt:lpstr>
      <vt:lpstr>PMSM_FOC_CCU8_SYNC_START</vt:lpstr>
      <vt:lpstr>PMSM_FOC_MOTOR_STATUS_STABLE</vt:lpstr>
      <vt:lpstr>PMSM_FOC_MOTOR_STATUS_TRANSITION</vt:lpstr>
      <vt:lpstr>PMSM_FOC_RAM_ATTRIBUTE</vt:lpstr>
      <vt:lpstr>POT_R1</vt:lpstr>
      <vt:lpstr>POT_R2</vt:lpstr>
      <vt:lpstr>R_RAW</vt:lpstr>
      <vt:lpstr>raw_HALL_SPEED_ACC_CONV</vt:lpstr>
      <vt:lpstr>REGEN_MIN_SPEED</vt:lpstr>
      <vt:lpstr>ROTOR_IPD_INDUCTIVE_SENSING</vt:lpstr>
      <vt:lpstr>ROTOR_IPD_NONE</vt:lpstr>
      <vt:lpstr>ROTOR_IPD_PRE_ALIGNMENT</vt:lpstr>
      <vt:lpstr>ROTOR_PRE_ALIGNMENT_COUNT</vt:lpstr>
      <vt:lpstr>ROTOR_PRE_ALIGNMENT_CURRENT_REF</vt:lpstr>
      <vt:lpstr>ROTOR_ZERO_DEG_ID_RAMPUP_STEP</vt:lpstr>
      <vt:lpstr>ROTOR_ZERO_DEG_ID_SVPWM_REF</vt:lpstr>
      <vt:lpstr>ROTOR_ZERO_DEG_ID_TIME_MS</vt:lpstr>
      <vt:lpstr>SCALE_UP_SINE_LUT</vt:lpstr>
      <vt:lpstr>SPEED_INNER_CURRENT_CTRL</vt:lpstr>
      <vt:lpstr>SPEED_RAMP_DOWN_STEP</vt:lpstr>
      <vt:lpstr>SPEED_RAMP_STEP_TIME_FCL_COUNT</vt:lpstr>
      <vt:lpstr>SPEED_RAMP_UP_STEP</vt:lpstr>
      <vt:lpstr>SPEED_REF_HIGH_LIMIT</vt:lpstr>
      <vt:lpstr>SPEED_REF_LOW_LIMIT</vt:lpstr>
      <vt:lpstr>SPEED_RES_INC</vt:lpstr>
      <vt:lpstr>SPEED_TO_ANGLE_CONV_FACTOR</vt:lpstr>
      <vt:lpstr>SPEED_TO_ANGLE_CONV_FACTOR_raw</vt:lpstr>
      <vt:lpstr>SPEED_TO_ANGLE_CONV_FACTOR_SCALE</vt:lpstr>
      <vt:lpstr>SPEED_TO_RPM_SCALE</vt:lpstr>
      <vt:lpstr>SPORT_GAIN_CONST</vt:lpstr>
      <vt:lpstr>STALL_COEFFICIENT_SCALE</vt:lpstr>
      <vt:lpstr>STALL_COEFFICIENT_SCALEUP</vt:lpstr>
      <vt:lpstr>STALL_CURRENT</vt:lpstr>
      <vt:lpstr>STALL_THRESHOLD_TIME</vt:lpstr>
      <vt:lpstr>STANDARD_SVM_5_SEGMENT</vt:lpstr>
      <vt:lpstr>STANDARD_SVM_7_SEGMENT</vt:lpstr>
      <vt:lpstr>STARTUP_VF_OFFSET</vt:lpstr>
      <vt:lpstr>STARTUP_VF_SPEED_RAMP_UP_RATE</vt:lpstr>
      <vt:lpstr>STARTUP_VF_STABILIZATION_COUNT</vt:lpstr>
      <vt:lpstr>STARTUP_VF_TRANSITION_SPEED</vt:lpstr>
      <vt:lpstr>STARTUP_VF_V_PER_HZ_CONST</vt:lpstr>
      <vt:lpstr>SVM_LUT_SCALE</vt:lpstr>
      <vt:lpstr>SVPWM_MAX_LINEAR_RANGE</vt:lpstr>
      <vt:lpstr>SVPWM_MAX_OVERMOD_RANGE</vt:lpstr>
      <vt:lpstr>SVPWM_MAX_VREF</vt:lpstr>
      <vt:lpstr>SYSTEM_IDLE_TIME_COUNT</vt:lpstr>
      <vt:lpstr>TEMP_SENSOR_COEFFICIENT_Q15</vt:lpstr>
      <vt:lpstr>TEMP_SENSOR_OFFSET</vt:lpstr>
      <vt:lpstr>THREE_SHUNT_ASYNC_CONV</vt:lpstr>
      <vt:lpstr>THREE_SHUNT_SYNC_CONV</vt:lpstr>
      <vt:lpstr>TORQUE</vt:lpstr>
      <vt:lpstr>TORQUE_CONST</vt:lpstr>
      <vt:lpstr>TORQUE_CTRL</vt:lpstr>
      <vt:lpstr>TORQUE_LIMIT_RAW</vt:lpstr>
      <vt:lpstr>TRANSITION_FIRST_KICK_COUNT</vt:lpstr>
      <vt:lpstr>TRANSITION_FIRST_KICK_VALUE</vt:lpstr>
      <vt:lpstr>USER_ABS_MAX_BOARD_TEMP_C</vt:lpstr>
      <vt:lpstr>USER_ADC_CALIBRATION</vt:lpstr>
      <vt:lpstr>USER_ALIGNMENT_VREF_SLEWRATE</vt:lpstr>
      <vt:lpstr>USER_AUTHENTICATION_ID</vt:lpstr>
      <vt:lpstr>USER_BOARD_OVERTEMP_PROTECTION_ENABLE</vt:lpstr>
      <vt:lpstr>USER_BOOTSTRAP_BRAKE_TIME_MS</vt:lpstr>
      <vt:lpstr>USER_CCU8_PWM_FREQ_HZ</vt:lpstr>
      <vt:lpstr>USER_CP_CLK_FREQ_kHz</vt:lpstr>
      <vt:lpstr>USER_CP_CLK_SS_EN_DIS</vt:lpstr>
      <vt:lpstr>USER_CURRENT_SENSING</vt:lpstr>
      <vt:lpstr>USER_DC_LINK_DIVIDER_RATIO</vt:lpstr>
      <vt:lpstr>USER_DEAD_TIME_US</vt:lpstr>
      <vt:lpstr>USER_DECELERATION_VDC_CLAMPING_ENABLE</vt:lpstr>
      <vt:lpstr>USER_DQ_DECOUPLING</vt:lpstr>
      <vt:lpstr>USER_DRIVER_SHUTDOWN_DELAY_mSec</vt:lpstr>
      <vt:lpstr>USER_FAST_CTRL_LOOP_PERIOD_US</vt:lpstr>
      <vt:lpstr>USER_FIRST_KICK_TIME_mS</vt:lpstr>
      <vt:lpstr>USER_FIRST_KICK_VALUE_V</vt:lpstr>
      <vt:lpstr>USER_FOC_CTRL_SCHEME</vt:lpstr>
      <vt:lpstr>USER_FW_DISABLE_IQ_LIMIT_A</vt:lpstr>
      <vt:lpstr>USER_FW_ENABLE</vt:lpstr>
      <vt:lpstr>USER_FW_LPF</vt:lpstr>
      <vt:lpstr>USER_FW_MAX_VREF</vt:lpstr>
      <vt:lpstr>USER_FW_MAX_VREF_Q15</vt:lpstr>
      <vt:lpstr>USER_GD_DT_FALL</vt:lpstr>
      <vt:lpstr>USER_GD_DT_RISE</vt:lpstr>
      <vt:lpstr>USER_GD_I_PRE_EN</vt:lpstr>
      <vt:lpstr>USER_GD_IHS_SINK</vt:lpstr>
      <vt:lpstr>USER_GD_IHS_SRC</vt:lpstr>
      <vt:lpstr>USER_GD_ILS_SINK</vt:lpstr>
      <vt:lpstr>USER_GD_ILS_SRC</vt:lpstr>
      <vt:lpstr>USER_GD_IPRE_SINK</vt:lpstr>
      <vt:lpstr>USER_GD_IPRE_SRC</vt:lpstr>
      <vt:lpstr>USER_GD_PVCC_SETPT</vt:lpstr>
      <vt:lpstr>USER_GD_TDRIVE1</vt:lpstr>
      <vt:lpstr>USER_GD_TDRIVE2</vt:lpstr>
      <vt:lpstr>USER_GD_TDRIVE3</vt:lpstr>
      <vt:lpstr>USER_GD_TDRIVE4</vt:lpstr>
      <vt:lpstr>USER_HALL_EDGE_COUNT</vt:lpstr>
      <vt:lpstr>USER_IQ_CURRENT_ALLOWED_A</vt:lpstr>
      <vt:lpstr>USER_IQ_LIMIT_BLANKING_TIME_ms</vt:lpstr>
      <vt:lpstr>USER_IQ_RAMP_DOWN_STEP_A</vt:lpstr>
      <vt:lpstr>USER_IQ_RAMP_UP_STEP_A</vt:lpstr>
      <vt:lpstr>USER_IQ_REF_LOW_LIMIT_A</vt:lpstr>
      <vt:lpstr>USER_IQ_REGEN_BRK_A</vt:lpstr>
      <vt:lpstr>USER_LIMIT_FW_MAX_NEG_ID_REF_A</vt:lpstr>
      <vt:lpstr>USER_LIMIT_MAX_IQ_A</vt:lpstr>
      <vt:lpstr>USER_LIMIT_MAX_IS_A</vt:lpstr>
      <vt:lpstr>USER_MAP_CURRENT_TO_DCLINK</vt:lpstr>
      <vt:lpstr>USER_MAX_BOARD_TEMP_START_C</vt:lpstr>
      <vt:lpstr>USER_MAX_CURRENT_LIMIT_ENABLE</vt:lpstr>
      <vt:lpstr>USER_MCLK_FREQ_MHz</vt:lpstr>
      <vt:lpstr>USER_MOTOR_BI_DIRECTION_CTRL</vt:lpstr>
      <vt:lpstr>USER_MOTOR_FLUX_LINKAGE_CONSTANT</vt:lpstr>
      <vt:lpstr>USER_MOTOR_LD_PER_PHASE_uH</vt:lpstr>
      <vt:lpstr>USER_MOTOR_LQ_PER_PHASE_uH</vt:lpstr>
      <vt:lpstr>USER_MOTOR_PH_OFFSET_CALIBRATION</vt:lpstr>
      <vt:lpstr>USER_MOTOR_POLE_PAIR</vt:lpstr>
      <vt:lpstr>USER_MOTOR_R_PER_PHASE_OHM</vt:lpstr>
      <vt:lpstr>USER_MOTOR_SPEED_HIGH_LIMIT_RPM</vt:lpstr>
      <vt:lpstr>USER_MOTOR_SPEED_HIGH_LIMIT_RPM_INPUT</vt:lpstr>
      <vt:lpstr>USER_MOTOR_SPEED_LOW_LIMIT_RPM</vt:lpstr>
      <vt:lpstr>USER_MOTOR_STALL_DETECTION_ENABLE</vt:lpstr>
      <vt:lpstr>USER_MOTOR_STARTUP_METHOD</vt:lpstr>
      <vt:lpstr>USER_MOTOR_STOP_METHOD</vt:lpstr>
      <vt:lpstr>USER_OCP_LEVEL_RMS_A</vt:lpstr>
      <vt:lpstr>USER_OCP_LEVEL_TIME_ms</vt:lpstr>
      <vt:lpstr>USER_OCP_LEVELS_PROTECTION_ENABLE</vt:lpstr>
      <vt:lpstr>USER_OVERCURRENT_PROTECTION_ENABLE</vt:lpstr>
      <vt:lpstr>USER_PASSWORD</vt:lpstr>
      <vt:lpstr>USER_PCLK_FREQ_MHz</vt:lpstr>
      <vt:lpstr>USER_PI_FLUX_BW_HZ</vt:lpstr>
      <vt:lpstr>USER_PI_FLUX_DAMP_RATIO</vt:lpstr>
      <vt:lpstr>USER_PI_FLUX_ENABLE_ANTIWINDUP</vt:lpstr>
      <vt:lpstr>USER_PI_FLUX_KI</vt:lpstr>
      <vt:lpstr>USER_PI_FLUX_KP</vt:lpstr>
      <vt:lpstr>USER_PI_FLUX_UK_LIMIT_MAX</vt:lpstr>
      <vt:lpstr>USER_PI_FLUX_UK_LIMIT_MIN</vt:lpstr>
      <vt:lpstr>USER_PI_FW_ENABLE_ANTIWINDUP</vt:lpstr>
      <vt:lpstr>USER_PI_FW_KI</vt:lpstr>
      <vt:lpstr>USER_PI_FW_KP</vt:lpstr>
      <vt:lpstr>USER_PI_FW_UK_LIMIT_MAX</vt:lpstr>
      <vt:lpstr>USER_PI_FW_UK_LIMIT_MIN</vt:lpstr>
      <vt:lpstr>USER_PI_SPEED_ENABLE_ANTIWINDUP</vt:lpstr>
      <vt:lpstr>USER_PI_SPEED_KI</vt:lpstr>
      <vt:lpstr>USER_PI_SPEED_KP</vt:lpstr>
      <vt:lpstr>USER_PI_SPEED_UK_LIMIT_MAX</vt:lpstr>
      <vt:lpstr>USER_PI_SPEED_UK_LIMIT_MIN</vt:lpstr>
      <vt:lpstr>USER_PI_TORQUE_BW_HZ</vt:lpstr>
      <vt:lpstr>USER_PI_TORQUE_DAMP_RATIO</vt:lpstr>
      <vt:lpstr>USER_PI_TORQUE_ENABLE_ANTIWINDUP</vt:lpstr>
      <vt:lpstr>USER_PI_TORQUE_KI</vt:lpstr>
      <vt:lpstr>USER_PI_TORQUE_KP</vt:lpstr>
      <vt:lpstr>USER_PI_TORQUE_UK_LIMIT_MAX</vt:lpstr>
      <vt:lpstr>USER_PI_TORQUE_UK_LIMIT_MIN</vt:lpstr>
      <vt:lpstr>USER_POT_ADC_LPF</vt:lpstr>
      <vt:lpstr>USER_R_SHUNT_OHM</vt:lpstr>
      <vt:lpstr>USER_REF_SETTING</vt:lpstr>
      <vt:lpstr>USER_REGEN_MIN_SPEED</vt:lpstr>
      <vt:lpstr>USER_ROTOR_IPD_IND_SENSE_CURRENT_DECAY_TIME_mS</vt:lpstr>
      <vt:lpstr>USER_ROTOR_IPD_IND_SENSE_PATTERN_ONTIME_mS</vt:lpstr>
      <vt:lpstr>USER_ROTOR_IPD_METHOD</vt:lpstr>
      <vt:lpstr>USER_ROTOR_PRE_ALIGNMENT_CURRENT_A</vt:lpstr>
      <vt:lpstr>USER_ROTOR_PRE_ALIGNMENT_TIME_MS</vt:lpstr>
      <vt:lpstr>USER_ROTOR_ZERO_DEG_ID_SVPWM_REF_V</vt:lpstr>
      <vt:lpstr>USER_ROTOR_ZERO_DEG_ID_TIME_MS</vt:lpstr>
      <vt:lpstr>USER_SLOW_CTRL_LOOP_PERIOD_US</vt:lpstr>
      <vt:lpstr>USER_SPEED_RAMP_DOWN_STEP_RPM</vt:lpstr>
      <vt:lpstr>USER_SPEED_RAMP_UP_STEP_RPM</vt:lpstr>
      <vt:lpstr>USER_SPEED_REF_HIGH_LIMIT_RPM</vt:lpstr>
      <vt:lpstr>USER_SPEED_REF_LOW_LIMIT_RPM</vt:lpstr>
      <vt:lpstr>USER_STALL_COEFFICIENT</vt:lpstr>
      <vt:lpstr>USER_STALL_COUNT</vt:lpstr>
      <vt:lpstr>USER_STALL_CURRENT_A</vt:lpstr>
      <vt:lpstr>USER_STALL_THRESHOLD_TIME_ms</vt:lpstr>
      <vt:lpstr>USER_STARTUP_VF_STABILIZATION_TIME_mS</vt:lpstr>
      <vt:lpstr>USER_SVM_OVERMODULATION</vt:lpstr>
      <vt:lpstr>USER_SVM_SINE_LUT_SIZE</vt:lpstr>
      <vt:lpstr>USER_SVM_SWITCHING_SCHEME</vt:lpstr>
      <vt:lpstr>USER_TEMP_SENSOR_0C_OUTPUT_mV</vt:lpstr>
      <vt:lpstr>USER_TEMP_SENSOR_COEFFICIENT_mV_C</vt:lpstr>
      <vt:lpstr>USER_TH_POT_ADC_START</vt:lpstr>
      <vt:lpstr>USER_TH_POT_ADC_STOP</vt:lpstr>
      <vt:lpstr>USER_TORQUE_LIMIT_ENABLE</vt:lpstr>
      <vt:lpstr>USER_UCPROBE_GUI</vt:lpstr>
      <vt:lpstr>USER_UCPROBE_OSCILLOSCOPE</vt:lpstr>
      <vt:lpstr>USER_VDC_LINK_V</vt:lpstr>
      <vt:lpstr>USER_VDC_LPF</vt:lpstr>
      <vt:lpstr>USER_VDC_OVER_VOLTAGE_LIMIT_V</vt:lpstr>
      <vt:lpstr>USER_VDC_UNDER_VOLTAGE_LIMIT_V</vt:lpstr>
      <vt:lpstr>USER_VDC_UV_OV_PROTECTION_ENABLE</vt:lpstr>
      <vt:lpstr>USER_VDC_VOLT_COMPENSATION</vt:lpstr>
      <vt:lpstr>USER_VF_OFFSET_V</vt:lpstr>
      <vt:lpstr>USER_VF_SPEED_RAMPUP_RATE_RPM_PER_S</vt:lpstr>
      <vt:lpstr>USER_VF_TRANSITION_SPEED_RPM</vt:lpstr>
      <vt:lpstr>USER_VF_V_PER_HZ</vt:lpstr>
      <vt:lpstr>USER_VQ_INITIAL_VALUE_V</vt:lpstr>
      <vt:lpstr>USER_VQ_REF_HIGH_LIMIT_V</vt:lpstr>
      <vt:lpstr>USER_VQ_REF_LOW_LIMIT_V</vt:lpstr>
      <vt:lpstr>USER_WATCH_DOG_TIMER</vt:lpstr>
      <vt:lpstr>VADC_DCLINK_T</vt:lpstr>
      <vt:lpstr>VAREF_V</vt:lpstr>
      <vt:lpstr>VDC</vt:lpstr>
      <vt:lpstr>VDC_ADC_TO_mV</vt:lpstr>
      <vt:lpstr>VDC_ADC_TO_mV_SCALE</vt:lpstr>
      <vt:lpstr>VDC_OVER_VOLTAGE_LIMIT</vt:lpstr>
      <vt:lpstr>VDC_UNDER_VOLTAGE_LIMIT</vt:lpstr>
      <vt:lpstr>VDD</vt:lpstr>
      <vt:lpstr>VF_OPEN_LOOP_CTRL</vt:lpstr>
      <vt:lpstr>VQ_INITIAL_VALUE</vt:lpstr>
      <vt:lpstr>VQ_RAMP_DOWN_STEP</vt:lpstr>
      <vt:lpstr>VQ_RAMP_DOWN_STEP_V</vt:lpstr>
      <vt:lpstr>VQ_RAMP_STEP_TIME_FCL_COUNT</vt:lpstr>
      <vt:lpstr>VQ_RAMP_UP_STEP</vt:lpstr>
      <vt:lpstr>VQ_RAMP_UP_STEP_V</vt:lpstr>
      <vt:lpstr>VQ_REF_HIGH_LIMIT</vt:lpstr>
      <vt:lpstr>VQ_REF_LOW_LIMIT</vt:lpstr>
      <vt:lpstr>VQ_VOLTAGE_CTRL</vt:lpstr>
      <vt:lpstr>WINDOW_SIZE</vt:lpstr>
      <vt:lpstr>WINDOW_SIZE_DIV_SCALE</vt:lpstr>
      <vt:lpstr>zxczxc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IMD701CF1V1_FirmwareConfig</dc:title>
  <dc:creator>Infineon Technologies</dc:creator>
  <cp:lastModifiedBy>Lin Song (PSS PS SYS SAA SAE MCSE CSE)</cp:lastModifiedBy>
  <dcterms:created xsi:type="dcterms:W3CDTF">2015-06-05T18:19:34Z</dcterms:created>
  <dcterms:modified xsi:type="dcterms:W3CDTF">2024-10-11T06:16:13Z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15a25aa-e944-415d-b7a7-40f6b9180b6b_Enabled">
    <vt:lpwstr>true</vt:lpwstr>
  </property>
  <property fmtid="{D5CDD505-2E9C-101B-9397-08002B2CF9AE}" pid="3" name="MSIP_Label_a15a25aa-e944-415d-b7a7-40f6b9180b6b_SetDate">
    <vt:lpwstr>2024-04-16T03:00:30Z</vt:lpwstr>
  </property>
  <property fmtid="{D5CDD505-2E9C-101B-9397-08002B2CF9AE}" pid="4" name="MSIP_Label_a15a25aa-e944-415d-b7a7-40f6b9180b6b_Method">
    <vt:lpwstr>Standard</vt:lpwstr>
  </property>
  <property fmtid="{D5CDD505-2E9C-101B-9397-08002B2CF9AE}" pid="5" name="MSIP_Label_a15a25aa-e944-415d-b7a7-40f6b9180b6b_Name">
    <vt:lpwstr>a15a25aa-e944-415d-b7a7-40f6b9180b6b</vt:lpwstr>
  </property>
  <property fmtid="{D5CDD505-2E9C-101B-9397-08002B2CF9AE}" pid="6" name="MSIP_Label_a15a25aa-e944-415d-b7a7-40f6b9180b6b_SiteId">
    <vt:lpwstr>eeb8d0e8-3544-41d3-aac6-934c309faf5a</vt:lpwstr>
  </property>
  <property fmtid="{D5CDD505-2E9C-101B-9397-08002B2CF9AE}" pid="7" name="MSIP_Label_a15a25aa-e944-415d-b7a7-40f6b9180b6b_ActionId">
    <vt:lpwstr>ee4de3fc-aa76-4f37-ad8c-e532bae95cd3</vt:lpwstr>
  </property>
  <property fmtid="{D5CDD505-2E9C-101B-9397-08002B2CF9AE}" pid="8" name="MSIP_Label_a15a25aa-e944-415d-b7a7-40f6b9180b6b_ContentBits">
    <vt:lpwstr>0</vt:lpwstr>
  </property>
</Properties>
</file>